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9BD1A7CF-2497-4972-BFD8-FFC87FACC199}" xr6:coauthVersionLast="47" xr6:coauthVersionMax="47" xr10:uidLastSave="{00000000-0000-0000-0000-000000000000}"/>
  <bookViews>
    <workbookView xWindow="11424" yWindow="0" windowWidth="11712" windowHeight="12336" tabRatio="705" firstSheet="10" activeTab="12"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3" l="1"/>
  <c r="D7" i="13"/>
  <c r="D8" i="13"/>
  <c r="D9" i="13"/>
  <c r="D5" i="13"/>
  <c r="C9" i="13"/>
  <c r="H42" i="7"/>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<sst xmlns="http://schemas.openxmlformats.org/spreadsheetml/2006/main" count="265" uniqueCount="92">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</sst>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Aptos Narrow"/>
      <family val="2"/>
      <scheme val="minor"/>
    </font>
    <font>
      <b/>
      <sz val="11"/>
      <color theme="1"/>
      <name val="Aptos Narrow"/>
      <family val="2"/>
      <scheme val="minor"/>
    </font>
    <font>
      <sz val="20"/>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3" fillId="0" borderId="0" applyFont="0" applyFill="0" applyBorder="0" applyAlignment="0" applyProtection="0"/>
  </cellStyleXfs>
  <cellXfs count="29">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xf numFmtId="0" fontId="0" fillId="0" borderId="1" xfId="0" applyBorder="1" applyAlignment="1">
      <alignment horizontal="center"/>
    </xf>
    <xf numFmtId="164" fontId="0" fillId="0" borderId="1" xfId="0" applyNumberFormat="1" applyBorder="1" applyAlignment="1">
      <alignment horizontal="center"/>
    </xf>
    <xf numFmtId="9" fontId="0" fillId="0" borderId="1" xfId="1" applyFont="1" applyBorder="1" applyAlignment="1">
      <alignment horizontal="center"/>
    </xf>
    <xf numFmtId="0" fontId="0" fillId="0" borderId="1" xfId="0" applyFill="1" applyBorder="1" applyAlignment="1">
      <alignment horizontal="center"/>
    </xf>
    <xf numFmtId="0" fontId="0" fillId="2" borderId="1" xfId="0" applyFill="1" applyBorder="1" applyAlignment="1">
      <alignment horizontal="center"/>
    </xf>
    <xf numFmtId="9" fontId="0" fillId="0" borderId="0" xfId="1" applyFont="1" applyFill="1" applyBorder="1" applyAlignment="1">
      <alignment horizontal="center"/>
    </xf>
  </cellXfs>
  <cellStyles count="2">
    <cellStyle name="Normal" xfId="0" builtinId="0"/>
    <cellStyle name="Percent" xfId="1" builtinId="5"/>
  </cellStyles>
  <dxfs count="7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69"/>
    </tableStyle>
    <tableStyle name="lala" pivot="0" table="0" count="8" xr9:uid="{DD81CD64-2808-4CEA-9C01-4180B4801163}">
      <tableStyleElement type="wholeTable" dxfId="68"/>
      <tableStyleElement type="headerRow" dxfId="67"/>
    </tableStyle>
    <tableStyle name="lamina" pivot="0" table="0" count="1" xr9:uid="{D385192D-4717-4737-8E8C-886C505036D0}"/>
    <tableStyle name="lanini" pivot="0" table="0" count="2" xr9:uid="{40C6B56F-A003-4D3F-B525-E38E98C3907E}">
      <tableStyleElement type="wholeTable" dxfId="66"/>
    </tableStyle>
    <tableStyle name="Timeline Style 1" pivot="0" table="0" count="8" xr9:uid="{9B0A14E2-3CD1-4B19-8553-57CECB3028D8}">
      <tableStyleElement type="wholeTable" dxfId="65"/>
      <tableStyleElement type="headerRow" dxfId="64"/>
    </tableStyle>
    <tableStyle name="Timeline Style 2" pivot="0" table="0" count="8" xr9:uid="{49D621C8-D30B-4E29-85D1-6A8B15CAF539}">
      <tableStyleElement type="wholeTable" dxfId="63"/>
      <tableStyleElement type="headerRow" dxfId="62"/>
    </tableStyle>
    <tableStyle name="Timeline Style 3" pivot="0" table="0" count="8" xr9:uid="{258C9365-08EF-4D0A-89CD-E9F7EBD3F908}">
      <tableStyleElement type="wholeTable" dxfId="61"/>
      <tableStyleElement type="headerRow" dxfId="60"/>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59" headerRowBorderDxfId="58" tableBorderDxfId="57" totalsRowBorderDxfId="56">
  <autoFilter ref="A2:C8" xr:uid="{E9E678CC-A933-4146-A266-8561FE66B063}"/>
  <tableColumns count="3">
    <tableColumn id="1" xr3:uid="{F9EC0535-D2ED-4975-8C35-424457CA2DE6}" name="tradeid" dataDxfId="55"/>
    <tableColumn id="2" xr3:uid="{9B8BB1FC-668E-49CD-A8D7-420D207088F2}" name="pair" dataDxfId="54"/>
    <tableColumn id="3" xr3:uid="{5E681BDC-3DC3-4516-B864-5D0AE1542D9F}" name="profit" dataDxfId="5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52" headerRowBorderDxfId="51" tableBorderDxfId="50" totalsRowBorderDxfId="49">
  <autoFilter ref="A2:C6" xr:uid="{96F793BC-B311-4CDF-8DA7-E3AEA6D0D526}"/>
  <tableColumns count="3">
    <tableColumn id="1" xr3:uid="{68D02487-9EAC-4BB9-9D4A-0CE1E96851CB}" name="tradeid" dataDxfId="48"/>
    <tableColumn id="2" xr3:uid="{12D66D41-0E62-41A4-A2C5-9DF9CB0EA836}" name="name" dataDxfId="47"/>
    <tableColumn id="3" xr3:uid="{A9438FDE-5ADC-4819-BD3E-00588951190F}" name="lastname" dataDxfId="4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45" headerRowBorderDxfId="44" tableBorderDxfId="43" totalsRowBorderDxfId="42">
  <autoFilter ref="A2:D9" xr:uid="{2486897B-78D6-4FF7-8650-B8C9CDD52BAE}"/>
  <tableColumns count="4">
    <tableColumn id="1" xr3:uid="{777E8C10-BE98-4358-9481-1AB4CFB9A947}" name="clientid" dataDxfId="41"/>
    <tableColumn id="2" xr3:uid="{9A2DEB65-468F-480B-BEF5-AAF8ED365379}" name="name" dataDxfId="40"/>
    <tableColumn id="3" xr3:uid="{1B7491DC-0A23-4566-9F79-D44ECFF3B165}" name="lastname" dataDxfId="39"/>
    <tableColumn id="4" xr3:uid="{58765888-333D-4334-BE18-C549AC0D18CF}" name="country" dataDxfId="3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37" headerRowBorderDxfId="36" tableBorderDxfId="35" totalsRowBorderDxfId="34">
  <autoFilter ref="A3:C7" xr:uid="{C0EB578E-3BC9-41F0-B814-7E123E6A73E4}"/>
  <tableColumns count="3">
    <tableColumn id="1" xr3:uid="{FE9B4DCD-B79F-4AB2-B0AD-10867D1DB9EB}" name="productname" dataDxfId="33"/>
    <tableColumn id="2" xr3:uid="{D9CDEBC8-2AA4-4242-B5E9-CB8A496F4F5C}" name="price" dataDxfId="32"/>
    <tableColumn id="3" xr3:uid="{79BDE64B-CC2F-4093-A1AC-E9408397D3C3}" name="qte" dataDxfId="3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30" headerRowBorderDxfId="29" tableBorderDxfId="28" totalsRowBorderDxfId="27">
  <autoFilter ref="A2:C8" xr:uid="{4A9A0CE0-CDE1-4E4A-B9CB-B28BAE8443AB}"/>
  <tableColumns count="3">
    <tableColumn id="1" xr3:uid="{B6A7184C-BE63-4F0C-B6AE-738DB7257FFD}" name="date" dataDxfId="26">
      <calculatedColumnFormula>DATE(2026,10,5)</calculatedColumnFormula>
    </tableColumn>
    <tableColumn id="2" xr3:uid="{B4494D3F-AC50-4F95-AA82-23740AD1A282}" name="clientid" dataDxfId="25"/>
    <tableColumn id="3" xr3:uid="{CB7B7653-9379-419F-BB8E-37E09604FE44}" name="productname" dataDxfId="2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3"/>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22"/>
    <tableColumn id="8" xr3:uid="{ED0648F6-FD27-40AE-88F4-48D1D266766A}" name="Amount" dataDxfId="2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sqref="A1:E2"/>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D11"/>
  <sheetViews>
    <sheetView tabSelected="1" workbookViewId="0">
      <selection activeCell="E18" sqref="E18"/>
    </sheetView>
  </sheetViews>
  <sheetFormatPr defaultRowHeight="14.4" x14ac:dyDescent="0.3"/>
  <cols>
    <col min="1" max="1" width="11.88671875" customWidth="1"/>
    <col min="2" max="2" width="12.6640625" customWidth="1"/>
    <col min="3" max="3" width="14.77734375" customWidth="1"/>
    <col min="4" max="4" width="14.109375" customWidth="1"/>
  </cols>
  <sheetData>
    <row r="4" spans="2:4" x14ac:dyDescent="0.3">
      <c r="B4" s="27"/>
      <c r="C4" s="27" t="s">
        <v>89</v>
      </c>
      <c r="D4" s="27" t="s">
        <v>91</v>
      </c>
    </row>
    <row r="5" spans="2:4" x14ac:dyDescent="0.3">
      <c r="B5" s="23" t="s">
        <v>85</v>
      </c>
      <c r="C5" s="24">
        <v>1400</v>
      </c>
      <c r="D5" s="25">
        <f>C5/$C$9</f>
        <v>0.85470085470085466</v>
      </c>
    </row>
    <row r="6" spans="2:4" x14ac:dyDescent="0.3">
      <c r="B6" s="23" t="s">
        <v>86</v>
      </c>
      <c r="C6" s="24">
        <v>78</v>
      </c>
      <c r="D6" s="25">
        <f t="shared" ref="D6:D9" si="0">C6/$C$9</f>
        <v>4.7619047619047616E-2</v>
      </c>
    </row>
    <row r="7" spans="2:4" x14ac:dyDescent="0.3">
      <c r="B7" s="23" t="s">
        <v>87</v>
      </c>
      <c r="C7" s="24">
        <v>90</v>
      </c>
      <c r="D7" s="25">
        <f t="shared" si="0"/>
        <v>5.4945054945054944E-2</v>
      </c>
    </row>
    <row r="8" spans="2:4" x14ac:dyDescent="0.3">
      <c r="B8" s="23" t="s">
        <v>88</v>
      </c>
      <c r="C8" s="24">
        <v>70</v>
      </c>
      <c r="D8" s="25">
        <f t="shared" si="0"/>
        <v>4.2735042735042736E-2</v>
      </c>
    </row>
    <row r="9" spans="2:4" x14ac:dyDescent="0.3">
      <c r="B9" s="26" t="s">
        <v>90</v>
      </c>
      <c r="C9" s="24">
        <f>SUM(C5:C8)</f>
        <v>1638</v>
      </c>
      <c r="D9" s="23">
        <f t="shared" si="0"/>
        <v>1</v>
      </c>
    </row>
    <row r="11" spans="2:4" x14ac:dyDescent="0.3">
      <c r="D11" s="28"/>
    </row>
  </sheetData>
  <conditionalFormatting sqref="D5:D8">
    <cfRule type="iconSet" priority="3">
      <iconSet iconSet="3TrafficLights2">
        <cfvo type="percent" val="0"/>
        <cfvo type="percent" val="33"/>
        <cfvo type="percent" val="67"/>
      </iconSet>
    </cfRule>
    <cfRule type="colorScale" priority="2">
      <colorScale>
        <cfvo type="min"/>
        <cfvo type="max"/>
        <color theme="8" tint="0.59999389629810485"/>
        <color rgb="FF63BE7B"/>
      </colorScale>
    </cfRule>
  </conditionalFormatting>
  <conditionalFormatting sqref="C5:C8">
    <cfRule type="colorScale" priority="1">
      <colorScale>
        <cfvo type="min"/>
        <cfvo type="num" val="10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2026-10-12T16:28:02Z</dcterms:modified>
</cp:coreProperties>
</file>