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236899A6-F91E-467D-BE1B-01BD4384FFFF}" xr6:coauthVersionLast="47" xr6:coauthVersionMax="47" xr10:uidLastSave="{00000000-0000-0000-0000-000000000000}"/>
  <bookViews>
    <workbookView xWindow="-108" yWindow="-108" windowWidth="23256" windowHeight="12456" firstSheet="1"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dashboard" sheetId="9" r:id="rId7"/>
    <sheet name="pivot table sales" sheetId="8" r:id="rId8"/>
    <sheet name="data raw sales" sheetId="7" r:id="rId9"/>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client" name="client" connection="WorksheetConnection_relationships.xlsx!client"/>
          <x15:modelTable id="productname" name="productname" connection="WorksheetConnection_relationships.xlsx!productname"/>
          <x15:modelTable id="invoice" name="invoice" connection="WorksheetConnection_relationships.xlsx!invoice"/>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3" i="6" l="1"/>
  <c r="A4" i="6"/>
  <c r="A5" i="6"/>
  <c r="A6" i="6"/>
  <c r="A7" i="6"/>
  <c r="A8" i="6"/>
  <c r="O58" i="8"/>
  <c r="L58" i="8"/>
  <c r="I58" i="8"/>
  <c r="E58" i="8"/>
  <c r="B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<sst xmlns="http://schemas.openxmlformats.org/spreadsheetml/2006/main" count="238" uniqueCount="79">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</sst>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fill>
        <patternFill>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s>
  <tableStyles count="7" defaultTableStyle="TableStyleMedium2" defaultPivotStyle="PivotStyleLight16">
    <tableStyle name="laila" pivot="0" table="0" count="1" xr9:uid="{DABE6C9C-85D5-4BAF-8B82-1729029B581B}">
      <tableStyleElement type="headerRow" dxfId="1"/>
    </tableStyle>
    <tableStyle name="lala" pivot="0" table="0" count="8" xr9:uid="{DD81CD64-2808-4CEA-9C01-4180B4801163}">
      <tableStyleElement type="wholeTable" dxfId="3"/>
      <tableStyleElement type="headerRow" dxfId="2"/>
    </tableStyle>
    <tableStyle name="lamina" pivot="0" table="0" count="1" xr9:uid="{D385192D-4717-4737-8E8C-886C505036D0}"/>
    <tableStyle name="lanini" pivot="0" table="0" count="2" xr9:uid="{40C6B56F-A003-4D3F-B525-E38E98C3907E}">
      <tableStyleElement type="wholeTable" dxfId="0"/>
    </tableStyle>
    <tableStyle name="Timeline Style 1" pivot="0" table="0" count="8" xr9:uid="{9B0A14E2-3CD1-4B19-8553-57CECB3028D8}">
      <tableStyleElement type="wholeTable" dxfId="9"/>
      <tableStyleElement type="headerRow" dxfId="8"/>
    </tableStyle>
    <tableStyle name="Timeline Style 2" pivot="0" table="0" count="8" xr9:uid="{49D621C8-D30B-4E29-85D1-6A8B15CAF539}">
      <tableStyleElement type="wholeTable" dxfId="7"/>
      <tableStyleElement type="headerRow" dxfId="6"/>
    </tableStyle>
    <tableStyle name="Timeline Style 3" pivot="0" table="0" count="8" xr9:uid="{258C9365-08EF-4D0A-89CD-E9F7EBD3F908}">
      <tableStyleElement type="wholeTable" dxfId="5"/>
      <tableStyleElement type="headerRow" dxfId="4"/>
    </tableStyle>
  </tableStyles>
  <extLst>
    <ext xmlns:x14="http://schemas.microsoft.com/office/spreadsheetml/2009/9/main" uri="{46F421CA-312F-682f-3DD2-61675219B42D}">
      <x14:dxfs count="2">
        <dxf>
          <fill>
            <patternFill>
              <bgColor theme="9" tint="0.59996337778862885"/>
            </patternFill>
          </fill>
          <border>
            <left style="thin">
              <color auto="1"/>
            </left>
            <right style="thin">
              <color auto="1"/>
            </right>
            <top style="thin">
              <color auto="1"/>
            </top>
            <bottom style="thin">
              <color auto="1"/>
            </bottom>
          </border>
        </dxf>
        <dxf>
          <fill>
            <patternFill>
              <bgColor theme="9" tint="0.59996337778862885"/>
            </patternFill>
          </fill>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0"/>
          </x14:slicerStyleElements>
        </x14:slicerStyle>
        <x14:slicerStyle name="lanini">
          <x14:slicerStyleElements>
            <x14:slicerStyleElement type="selectedItemWithData" dxfId="1"/>
          </x14:slicerStyleElements>
        </x14:slicerStyle>
      </x14:slicerStyles>
    </ext>
    <ext xmlns:x15="http://schemas.microsoft.com/office/spreadsheetml/2010/11/main" uri="{A0A4C193-F2C1-4fcb-8827-314CF55A85BB}">
      <x15:dxfs count="24">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lala">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 name="Timeline Style 1">
          <x15:timelineStyleElements>
            <x15:timelineStyleElement type="selectionLabel" dxfId="21"/>
            <x15:timelineStyleElement type="timeLevel" dxfId="20"/>
            <x15:timelineStyleElement type="periodLabel1" dxfId="19"/>
            <x15:timelineStyleElement type="periodLabel2" dxfId="18"/>
            <x15:timelineStyleElement type="selectedTimeBlock" dxfId="23"/>
            <x15:timelineStyleElement type="unselectedTimeBlock" dxfId="22"/>
          </x15:timelineStyleElements>
        </x15:timelineStyle>
        <x15:timelineStyle name="Timeline Style 2">
          <x15:timelineStyleElements>
            <x15:timelineStyleElement type="selectionLabel" dxfId="15"/>
            <x15:timelineStyleElement type="timeLevel" dxfId="14"/>
            <x15:timelineStyleElement type="periodLabel1" dxfId="13"/>
            <x15:timelineStyleElement type="periodLabel2" dxfId="12"/>
            <x15:timelineStyleElement type="selectedTimeBlock" dxfId="17"/>
            <x15:timelineStyleElement type="unselectedTimeBlock" dxfId="16"/>
          </x15:timelineStyleElements>
        </x15:timelineStyle>
        <x15:timelineStyle name="Timeline Style 3">
          <x15:timelineStyleElements>
            <x15:timelineStyleElement type="selectionLabel" dxfId="9"/>
            <x15:timelineStyleElement type="timeLevel" dxfId="8"/>
            <x15:timelineStyleElement type="periodLabel1" dxfId="7"/>
            <x15:timelineStyleElement type="periodLabel2" dxfId="6"/>
            <x15:timelineStyleElement type="selectedTimeBlock" dxfId="11"/>
            <x15:timelineStyleElement type="unselectedTimeBlock" dxfId="10"/>
          </x15:timelineStyleElements>
        </x15:timelineStyle>
      </x15:timelineStyles>
    </ext>
  </extLst>
</styleSheet>
</file>

<file path=xl/_rels/workbook.xml.rels><?xml version="1.0" encoding="UTF-8" standalone="yes"?>
<Relationships xmlns="http://schemas.openxmlformats.org/package/2006/relationships"><Relationship Id="rId13" Type="http://schemas.microsoft.com/office/2011/relationships/timelineCache" Target="timelineCaches/timeline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31</xdr:row>
      <xdr:rowOff>76200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57454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31</xdr:row>
      <xdr:rowOff>91440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576072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23</xdr:col>
      <xdr:colOff>0</xdr:colOff>
      <xdr:row>9</xdr:row>
      <xdr:rowOff>0</xdr:rowOff>
    </xdr:from>
    <xdr:to>
      <xdr:col>24</xdr:col>
      <xdr:colOff>304800</xdr:colOff>
      <xdr:row>14</xdr:row>
      <xdr:rowOff>0</xdr:rowOff>
    </xdr:to>
    <xdr:pic>
      <xdr:nvPicPr>
        <xdr:cNvPr id="6" name="Graphic 5" descr="Dollar with solid fill">
          <a:extLst>
            <a:ext uri="{FF2B5EF4-FFF2-40B4-BE49-F238E27FC236}">
              <a16:creationId xmlns:a16="http://schemas.microsoft.com/office/drawing/2014/main" id="{405663FD-9E4C-A034-4C85-97977BDB86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20800" y="1645920"/>
          <a:ext cx="914400" cy="914400"/>
        </a:xfrm>
        <a:prstGeom prst="rect">
          <a:avLst/>
        </a:prstGeom>
      </xdr:spPr>
    </xdr:pic>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mc:Choice xmlns:tsle="http://schemas.microsoft.com/office/drawing/2012/timeslicer"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9</xdr:row>
      <xdr:rowOff>83820</xdr:rowOff>
    </xdr:from>
    <xdr:to>
      <xdr:col>18</xdr:col>
      <xdr:colOff>342900</xdr:colOff>
      <xdr:row>13</xdr:row>
      <xdr:rowOff>53340</xdr:rowOff>
    </xdr:to>
    <mc:AlternateContent xmlns:mc="http://schemas.openxmlformats.org/markup-compatibility/2006">
      <mc:Choice xmlns:a14="http://schemas.microsoft.com/office/drawing/2010/main"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dr:sp macro="" textlink="">
          <xdr:nvSpPr>
            <xdr:cNvPr id="0" name=""/>
            <xdr:cNvSpPr>
              <a:spLocks noTextEdit="1"/>
            </xdr:cNvSpPr>
          </xdr:nvSpPr>
          <xdr:spPr>
            <a:xfrm>
              <a:off x="1722120" y="1729740"/>
              <a:ext cx="9593580" cy="701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601200" y="2705100"/>
          <a:ext cx="457200" cy="457200"/>
        </a:xfrm>
        <a:prstGeom prst="rect">
          <a:avLst/>
        </a:prstGeom>
      </xdr:spPr>
    </xdr:pic>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0.528201041663"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1.90942974537" createdVersion="8" refreshedVersion="8" minRefreshableVersion="3" recordCount="40" xr:uid="{D641DFE7-4C15-4723-BED5-80B09CEFB3D8}">
  <cacheSource type="worksheet">
    <worksheetSource name="dataraw"/>
  </cacheSource>
  <cacheFields count="8">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cacheField>
    <cacheField name="Salesman" numFmtId="0">
      <sharedItems count="6">
        <s v="Ahmed Said"/>
        <s v="Ali Ramadan"/>
        <s v="Ashraf Zaki"/>
        <s v="Fathy Ali"/>
        <s v="Tamer Mohamed"/>
        <s v="Khaled Hassan"/>
      </sharedItems>
    </cacheField>
    <cacheField name="Region" numFmtId="0">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4:B6"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h="1" x="5"/>
        <item h="1" x="0"/>
        <item h="1" x="2"/>
        <item h="1" x="1"/>
        <item x="4"/>
        <item t="default"/>
      </items>
    </pivotField>
    <pivotField showAll="0"/>
    <pivotField showAll="0"/>
    <pivotField dataField="1" showAll="0"/>
  </pivotFields>
  <rowFields count="1">
    <field x="4"/>
  </rowFields>
  <rowItems count="2">
    <i>
      <x v="7"/>
    </i>
    <i t="grand">
      <x/>
    </i>
  </rowItems>
  <colItems count="1">
    <i/>
  </colItems>
  <dataFields count="1">
    <dataField name="Sum of Amount" fld="7" baseField="0"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35:E39"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measureFilter="1">
      <items count="7">
        <item x="0"/>
        <item x="1"/>
        <item x="2"/>
        <item x="3"/>
        <item x="5"/>
        <item x="4"/>
        <item t="default"/>
      </items>
    </pivotField>
    <pivotField showAll="0"/>
    <pivotField showAll="0">
      <items count="9">
        <item h="1" x="6"/>
        <item h="1" x="7"/>
        <item h="1" x="3"/>
        <item h="1" x="5"/>
        <item h="1" x="0"/>
        <item h="1" x="2"/>
        <item h="1" x="1"/>
        <item x="4"/>
        <item t="default"/>
      </items>
    </pivotField>
    <pivotField showAll="0"/>
    <pivotField showAll="0"/>
    <pivotField dataField="1" showAll="0"/>
  </pivotFields>
  <rowFields count="1">
    <field x="2"/>
  </rowFields>
  <rowItems count="4">
    <i>
      <x v="1"/>
    </i>
    <i>
      <x v="3"/>
    </i>
    <i>
      <x v="5"/>
    </i>
    <i t="grand">
      <x/>
    </i>
  </rowItems>
  <colItems count="1">
    <i/>
  </colItems>
  <dataFields count="1">
    <dataField name="Sum of Amount" fld="7" baseField="2" baseItem="0"/>
  </dataFields>
  <pivotTableStyleInfo name="PivotStyleLight16" showRowHeaders="1" showColHeaders="1" showRowStripes="0" showColStripes="0" showLastColumn="1"/>
  <filters count="2">
    <filter fld="1" type="dateBetween" evalOrder="-1" id="529"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35:B37"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h="1" x="5"/>
        <item h="1" x="0"/>
        <item h="1" x="2"/>
        <item h="1" x="1"/>
        <item x="4"/>
        <item t="default"/>
      </items>
    </pivotField>
    <pivotField showAll="0"/>
    <pivotField showAll="0"/>
    <pivotField dataField="1" showAll="0"/>
  </pivotFields>
  <rowFields count="1">
    <field x="4"/>
  </rowFields>
  <rowItems count="2">
    <i>
      <x v="7"/>
    </i>
    <i t="grand">
      <x/>
    </i>
  </rowItems>
  <colItems count="1">
    <i/>
  </colItems>
  <dataFields count="1">
    <dataField name="Sum of Amount" fld="7" baseField="4" baseItem="0"/>
  </dataFields>
  <pivotTableStyleInfo name="PivotStyleLight16" showRowHeaders="1" showColHeaders="1" showRowStripes="0" showColStripes="0" showLastColumn="1"/>
  <filters count="1">
    <filter fld="1" type="dateBetween" evalOrder="-1" id="529"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h="1" x="5"/>
        <item h="1" x="0"/>
        <item h="1" x="2"/>
        <item h="1" x="1"/>
        <item x="4"/>
        <item t="default"/>
      </items>
    </pivotField>
    <pivotField showAll="0"/>
    <pivotField showAll="0"/>
    <pivotField dataField="1" showAll="0"/>
  </pivotFields>
  <rowFields count="1">
    <field x="4"/>
  </rowFields>
  <rowItems count="2">
    <i>
      <x v="7"/>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6"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items count="7">
        <item x="0"/>
        <item x="1"/>
        <item x="2"/>
        <item x="3"/>
        <item x="5"/>
        <item x="4"/>
        <item t="default"/>
      </items>
    </pivotField>
    <pivotField showAll="0"/>
    <pivotField showAll="0">
      <items count="9">
        <item h="1" x="6"/>
        <item h="1" x="7"/>
        <item h="1" x="3"/>
        <item h="1" x="5"/>
        <item h="1" x="0"/>
        <item h="1" x="2"/>
        <item h="1" x="1"/>
        <item x="4"/>
        <item t="default"/>
      </items>
    </pivotField>
    <pivotField showAll="0"/>
    <pivotField showAll="0"/>
    <pivotField dataField="1" showAll="0"/>
  </pivotFields>
  <rowFields count="1">
    <field x="2"/>
  </rowFields>
  <rowItems count="6">
    <i>
      <x/>
    </i>
    <i>
      <x v="1"/>
    </i>
    <i>
      <x v="3"/>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4:E10"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items count="7">
        <item x="0"/>
        <item x="1"/>
        <item x="2"/>
        <item x="3"/>
        <item x="5"/>
        <item x="4"/>
        <item t="default"/>
      </items>
    </pivotField>
    <pivotField showAll="0"/>
    <pivotField showAll="0">
      <items count="9">
        <item h="1" x="6"/>
        <item h="1" x="7"/>
        <item h="1" x="3"/>
        <item h="1" x="5"/>
        <item h="1" x="0"/>
        <item h="1" x="2"/>
        <item h="1" x="1"/>
        <item x="4"/>
        <item t="default"/>
      </items>
    </pivotField>
    <pivotField showAll="0"/>
    <pivotField showAll="0"/>
    <pivotField dataField="1" showAll="0"/>
  </pivotFields>
  <rowFields count="1">
    <field x="2"/>
  </rowFields>
  <rowItems count="6">
    <i>
      <x/>
    </i>
    <i>
      <x v="1"/>
    </i>
    <i>
      <x v="3"/>
    </i>
    <i>
      <x v="4"/>
    </i>
    <i>
      <x v="5"/>
    </i>
    <i t="grand">
      <x/>
    </i>
  </rowItems>
  <colItems count="1">
    <i/>
  </colItems>
  <dataFields count="1">
    <dataField name="Sum of Amount" fld="7" baseField="0" baseItem="0"/>
  </dataFields>
  <pivotTableStyleInfo name="PivotStyleLight16" showRowHeaders="1" showColHeaders="1" showRowStripes="0" showColStripes="0" showLastColumn="1"/>
  <filters count="1">
    <filter fld="1" type="dateBetween" evalOrder="-1" id="528" name="Date">
      <autoFilter ref="A1">
        <filterColumn colId="0">
          <customFilters and="1">
            <customFilter operator="greaterThanOrEqual" val="44927"/>
            <customFilter operator="lessThanOrEqual" val="4529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s>
  <data>
    <tabular pivotCacheId="2123660732">
      <items count="8">
        <i x="6"/>
        <i x="7"/>
        <i x="3"/>
        <i x="5"/>
        <i x="0"/>
        <i x="2"/>
        <i x="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48" headerRowBorderDxfId="47" tableBorderDxfId="46" totalsRowBorderDxfId="45">
  <autoFilter ref="A2:C8" xr:uid="{E9E678CC-A933-4146-A266-8561FE66B063}"/>
  <tableColumns count="3">
    <tableColumn id="1" xr3:uid="{F9EC0535-D2ED-4975-8C35-424457CA2DE6}" name="tradeid" dataDxfId="44"/>
    <tableColumn id="2" xr3:uid="{9B8BB1FC-668E-49CD-A8D7-420D207088F2}" name="pair" dataDxfId="43"/>
    <tableColumn id="3" xr3:uid="{5E681BDC-3DC3-4516-B864-5D0AE1542D9F}" name="profit" dataDxfId="4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41" headerRowBorderDxfId="40" tableBorderDxfId="39" totalsRowBorderDxfId="38">
  <autoFilter ref="A2:C6" xr:uid="{96F793BC-B311-4CDF-8DA7-E3AEA6D0D526}"/>
  <tableColumns count="3">
    <tableColumn id="1" xr3:uid="{68D02487-9EAC-4BB9-9D4A-0CE1E96851CB}" name="tradeid" dataDxfId="37"/>
    <tableColumn id="2" xr3:uid="{12D66D41-0E62-41A4-A2C5-9DF9CB0EA836}" name="name" dataDxfId="36"/>
    <tableColumn id="3" xr3:uid="{A9438FDE-5ADC-4819-BD3E-00588951190F}" name="lastname" dataDxfId="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34" headerRowBorderDxfId="33" tableBorderDxfId="32" totalsRowBorderDxfId="31">
  <autoFilter ref="A2:D9" xr:uid="{2486897B-78D6-4FF7-8650-B8C9CDD52BAE}"/>
  <tableColumns count="4">
    <tableColumn id="1" xr3:uid="{777E8C10-BE98-4358-9481-1AB4CFB9A947}" name="clientid" dataDxfId="30"/>
    <tableColumn id="2" xr3:uid="{9A2DEB65-468F-480B-BEF5-AAF8ED365379}" name="name" dataDxfId="29"/>
    <tableColumn id="3" xr3:uid="{1B7491DC-0A23-4566-9F79-D44ECFF3B165}" name="lastname" dataDxfId="28"/>
    <tableColumn id="4" xr3:uid="{58765888-333D-4334-BE18-C549AC0D18CF}" name="country" dataDxfId="2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26" headerRowBorderDxfId="25" tableBorderDxfId="24" totalsRowBorderDxfId="23">
  <autoFilter ref="A3:C7" xr:uid="{C0EB578E-3BC9-41F0-B814-7E123E6A73E4}"/>
  <tableColumns count="3">
    <tableColumn id="1" xr3:uid="{FE9B4DCD-B79F-4AB2-B0AD-10867D1DB9EB}" name="productname" dataDxfId="22"/>
    <tableColumn id="2" xr3:uid="{D9CDEBC8-2AA4-4242-B5E9-CB8A496F4F5C}" name="price" dataDxfId="21"/>
    <tableColumn id="3" xr3:uid="{79BDE64B-CC2F-4093-A1AC-E9408397D3C3}" name="qte" dataDxfId="2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19" headerRowBorderDxfId="18" tableBorderDxfId="17" totalsRowBorderDxfId="16">
  <autoFilter ref="A2:C8" xr:uid="{4A9A0CE0-CDE1-4E4A-B9CB-B28BAE8443AB}"/>
  <tableColumns count="3">
    <tableColumn id="1" xr3:uid="{B6A7184C-BE63-4F0C-B6AE-738DB7257FFD}" name="date" dataDxfId="15">
      <calculatedColumnFormula>DATE(2026,10,5)</calculatedColumnFormula>
    </tableColumn>
    <tableColumn id="2" xr3:uid="{B4494D3F-AC50-4F95-AA82-23740AD1A282}" name="clientid" dataDxfId="14"/>
    <tableColumn id="3" xr3:uid="{CB7B7653-9379-419F-BB8E-37E09604FE44}" name="productname" dataDxf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1" totalsRowShown="0">
  <autoFilter ref="A1:H41" xr:uid="{5024BCAD-14FE-4CB7-8FC4-4DC9405A7D98}"/>
  <tableColumns count="8">
    <tableColumn id="1" xr3:uid="{496DC01D-C1B8-4F50-B198-021C6316EBB1}" name="S No"/>
    <tableColumn id="2" xr3:uid="{9D5EF8AD-7F70-4D2E-AAF2-AC2B5045BF09}" name="Date" dataDxfId="1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1"/>
    <tableColumn id="8" xr3:uid="{ED0648F6-FD27-40AE-88F4-48D1D266766A}" name="Amount"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s>
  <state minimalRefreshVersion="6" lastRefreshVersion="6" pivotCacheId="2123660732" filterType="dateBetween">
    <selection startDate="2023-01-01T00:00:00" endDate="2023-12-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0"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tabSelected="1" topLeftCell="A2" workbookViewId="0">
      <selection activeCell="V18" sqref="V1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28" workbookViewId="0">
      <selection activeCell="H45" sqref="H45"/>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16.33203125" bestFit="1" customWidth="1"/>
    <col min="11" max="11" width="13.109375" bestFit="1" customWidth="1"/>
    <col min="14" max="14" width="12.6640625" bestFit="1" customWidth="1"/>
  </cols>
  <sheetData>
    <row r="1" spans="1:5" x14ac:dyDescent="0.3">
      <c r="A1" s="22" t="s">
        <v>78</v>
      </c>
      <c r="B1" s="22"/>
      <c r="C1" s="22"/>
      <c r="D1" s="22"/>
      <c r="E1" s="22"/>
    </row>
    <row r="2" spans="1:5" x14ac:dyDescent="0.3">
      <c r="A2" s="22"/>
      <c r="B2" s="22"/>
      <c r="C2" s="22"/>
      <c r="D2" s="22"/>
      <c r="E2" s="22"/>
    </row>
    <row r="4" spans="1:5" x14ac:dyDescent="0.3">
      <c r="A4" s="10" t="s">
        <v>70</v>
      </c>
      <c r="B4" t="s">
        <v>68</v>
      </c>
      <c r="D4" s="10" t="s">
        <v>69</v>
      </c>
      <c r="E4" t="s">
        <v>68</v>
      </c>
    </row>
    <row r="5" spans="1:5" x14ac:dyDescent="0.3">
      <c r="A5" s="11" t="s">
        <v>63</v>
      </c>
      <c r="B5" s="12">
        <v>7200</v>
      </c>
      <c r="D5" s="11" t="s">
        <v>50</v>
      </c>
      <c r="E5" s="12">
        <v>900</v>
      </c>
    </row>
    <row r="6" spans="1:5" x14ac:dyDescent="0.3">
      <c r="A6" s="11" t="s">
        <v>14</v>
      </c>
      <c r="B6" s="12">
        <v>7200</v>
      </c>
      <c r="D6" s="11" t="s">
        <v>53</v>
      </c>
      <c r="E6" s="12">
        <v>2400</v>
      </c>
    </row>
    <row r="7" spans="1:5" x14ac:dyDescent="0.3">
      <c r="D7" s="11" t="s">
        <v>58</v>
      </c>
      <c r="E7" s="12">
        <v>1500</v>
      </c>
    </row>
    <row r="8" spans="1:5" x14ac:dyDescent="0.3">
      <c r="D8" s="11" t="s">
        <v>60</v>
      </c>
      <c r="E8" s="12">
        <v>300</v>
      </c>
    </row>
    <row r="9" spans="1:5" x14ac:dyDescent="0.3">
      <c r="D9" s="11" t="s">
        <v>59</v>
      </c>
      <c r="E9" s="12">
        <v>2100</v>
      </c>
    </row>
    <row r="10" spans="1:5" x14ac:dyDescent="0.3">
      <c r="D10" s="11" t="s">
        <v>14</v>
      </c>
      <c r="E10" s="12">
        <v>7200</v>
      </c>
    </row>
    <row r="18" spans="1:5" x14ac:dyDescent="0.3">
      <c r="A18" s="10" t="s">
        <v>70</v>
      </c>
      <c r="B18" t="s">
        <v>71</v>
      </c>
    </row>
    <row r="19" spans="1:5" x14ac:dyDescent="0.3">
      <c r="A19" s="11" t="s">
        <v>63</v>
      </c>
      <c r="B19" s="12">
        <v>8</v>
      </c>
    </row>
    <row r="20" spans="1:5" x14ac:dyDescent="0.3">
      <c r="A20" s="11" t="s">
        <v>14</v>
      </c>
      <c r="B20" s="12">
        <v>8</v>
      </c>
      <c r="D20" s="10" t="s">
        <v>69</v>
      </c>
      <c r="E20" t="s">
        <v>71</v>
      </c>
    </row>
    <row r="21" spans="1:5" x14ac:dyDescent="0.3">
      <c r="D21" s="11" t="s">
        <v>50</v>
      </c>
      <c r="E21" s="12">
        <v>2</v>
      </c>
    </row>
    <row r="22" spans="1:5" x14ac:dyDescent="0.3">
      <c r="D22" s="11" t="s">
        <v>53</v>
      </c>
      <c r="E22" s="12">
        <v>2</v>
      </c>
    </row>
    <row r="23" spans="1:5" x14ac:dyDescent="0.3">
      <c r="D23" s="11" t="s">
        <v>58</v>
      </c>
      <c r="E23" s="12">
        <v>2</v>
      </c>
    </row>
    <row r="24" spans="1:5" x14ac:dyDescent="0.3">
      <c r="D24" s="11" t="s">
        <v>60</v>
      </c>
      <c r="E24" s="12">
        <v>1</v>
      </c>
    </row>
    <row r="25" spans="1:5" x14ac:dyDescent="0.3">
      <c r="D25" s="11" t="s">
        <v>59</v>
      </c>
      <c r="E25" s="12">
        <v>1</v>
      </c>
    </row>
    <row r="26" spans="1:5" x14ac:dyDescent="0.3">
      <c r="D26" s="11" t="s">
        <v>14</v>
      </c>
      <c r="E26" s="12">
        <v>8</v>
      </c>
    </row>
    <row r="35" spans="1:5" x14ac:dyDescent="0.3">
      <c r="A35" s="10" t="s">
        <v>70</v>
      </c>
      <c r="B35" t="s">
        <v>68</v>
      </c>
      <c r="D35" s="10" t="s">
        <v>69</v>
      </c>
      <c r="E35" t="s">
        <v>68</v>
      </c>
    </row>
    <row r="36" spans="1:5" x14ac:dyDescent="0.3">
      <c r="A36" s="11" t="s">
        <v>63</v>
      </c>
      <c r="B36" s="12">
        <v>7200</v>
      </c>
      <c r="D36" s="11" t="s">
        <v>53</v>
      </c>
      <c r="E36" s="12">
        <v>2400</v>
      </c>
    </row>
    <row r="37" spans="1:5" x14ac:dyDescent="0.3">
      <c r="A37" s="11" t="s">
        <v>14</v>
      </c>
      <c r="B37" s="12">
        <v>7200</v>
      </c>
      <c r="D37" s="11" t="s">
        <v>58</v>
      </c>
      <c r="E37" s="12">
        <v>1500</v>
      </c>
    </row>
    <row r="38" spans="1:5" x14ac:dyDescent="0.3">
      <c r="D38" s="11" t="s">
        <v>59</v>
      </c>
      <c r="E38" s="12">
        <v>2100</v>
      </c>
    </row>
    <row r="39" spans="1:5" x14ac:dyDescent="0.3">
      <c r="D39" s="11" t="s">
        <v>14</v>
      </c>
      <c r="E39" s="12">
        <v>6000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7200</v>
      </c>
      <c r="B58" s="20">
        <f>GETPIVOTDATA("Amount",$A$57)</f>
        <v>7200</v>
      </c>
      <c r="D58" s="12">
        <v>8</v>
      </c>
      <c r="E58" s="20">
        <f>GETPIVOTDATA("Amount",$D$57)</f>
        <v>8</v>
      </c>
      <c r="H58" s="12">
        <v>900</v>
      </c>
      <c r="I58" s="20">
        <f>GETPIVOTDATA("Amount",$H$57)</f>
        <v>900</v>
      </c>
      <c r="K58" s="12">
        <v>2100</v>
      </c>
      <c r="L58" s="20">
        <f>GETPIVOTDATA("Amount",$K$57)</f>
        <v>2100</v>
      </c>
      <c r="N58" s="12">
        <v>300</v>
      </c>
      <c r="O58" s="20">
        <f>GETPIVOTDATA("Amount",$N$57)</f>
        <v>300</v>
      </c>
    </row>
  </sheetData>
  <mergeCells count="2">
    <mergeCell ref="A53:O54"/>
    <mergeCell ref="A1:E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1"/>
  <sheetViews>
    <sheetView topLeftCell="A16" workbookViewId="0">
      <selection activeCell="D11" sqref="D11"/>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E3BFA8F2-3794-431F-9EB3-21512B27BFD5}">
  <ds:schemaRefs/>
</ds:datastoreItem>
</file>

<file path=customXml/itemProps2.xml><?xml version="1.0" encoding="utf-8"?>
<ds:datastoreItem xmlns:ds="http://schemas.openxmlformats.org/officeDocument/2006/customXml" ds:itemID="{BC246F50-D6F7-44C6-B8B9-1DFA91E983AB}">
  <ds:schemaRefs/>
</ds:datastoreItem>
</file>

<file path=customXml/itemProps3.xml><?xml version="1.0" encoding="utf-8"?>
<ds:datastoreItem xmlns:ds="http://schemas.openxmlformats.org/officeDocument/2006/customXml" ds:itemID="{AD81E317-133D-4269-AD8E-F0B60817F787}">
  <ds:schemaRefs/>
</ds:datastoreItem>
</file>

<file path=customXml/itemProps4.xml><?xml version="1.0" encoding="utf-8"?>
<ds:datastoreItem xmlns:ds="http://schemas.openxmlformats.org/officeDocument/2006/customXml" ds:itemID="{B395E832-2FB1-4FCC-8347-BC626FE079C4}">
  <ds:schemaRefs/>
</ds:datastoreItem>
</file>

<file path=customXml/itemProps5.xml><?xml version="1.0" encoding="utf-8"?>
<ds:datastoreItem xmlns:ds="http://schemas.openxmlformats.org/officeDocument/2006/customXml" ds:itemID="{B51FFAB7-8A72-460A-905A-E4369F52DD03}">
  <ds:schemaRefs/>
</ds:datastoreItem>
</file>

<file path=customXml/itemProps6.xml><?xml version="1.0" encoding="utf-8"?>
<ds:datastoreItem xmlns:ds="http://schemas.openxmlformats.org/officeDocument/2006/customXml" ds:itemID="{0092E684-A59A-4104-A123-0A01CF8CC963}">
  <ds:schemaRefs/>
</ds:datastoreItem>
</file>

<file path=customXml/itemProps7.xml><?xml version="1.0" encoding="utf-8"?>
<ds:datastoreItem xmlns:ds="http://schemas.openxmlformats.org/officeDocument/2006/customXml" ds:itemID="{AEAAFECA-2DE4-4B02-AD25-A0FB5A56E772}">
  <ds:schemaRefs/>
</ds:datastoreItem>
</file>

<file path=customXml/itemProps8.xml><?xml version="1.0" encoding="utf-8"?>
<ds:datastoreItem xmlns:ds="http://schemas.openxmlformats.org/officeDocument/2006/customXml" ds:itemID="{A9D16D73-DF80-4591-8AB4-5AF50CD0432F}">
  <ds:schemaRefs/>
</ds:datastoreItem>
</file>

<file path=customXml/itemProps9.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0.xml><?xml version="1.0" encoding="utf-8"?>
<ds:datastoreItem xmlns:ds="http://schemas.openxmlformats.org/officeDocument/2006/customXml" ds:itemID="{62B2A0ED-C6CC-4EFC-AA6E-CE4344ECBA17}">
  <ds:schemaRefs/>
</ds:datastoreItem>
</file>

<file path=customXml/itemProps11.xml><?xml version="1.0" encoding="utf-8"?>
<ds:datastoreItem xmlns:ds="http://schemas.openxmlformats.org/officeDocument/2006/customXml" ds:itemID="{D1CDC618-B7E4-42ED-9136-887556D3E8F6}">
  <ds:schemaRefs/>
</ds:datastoreItem>
</file>

<file path=customXml/itemProps12.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3.xml><?xml version="1.0" encoding="utf-8"?>
<ds:datastoreItem xmlns:ds="http://schemas.openxmlformats.org/officeDocument/2006/customXml" ds:itemID="{F983B97C-63D1-4E74-B3D4-7D94D857A850}">
  <ds:schemaRefs/>
</ds:datastoreItem>
</file>

<file path=customXml/itemProps14.xml><?xml version="1.0" encoding="utf-8"?>
<ds:datastoreItem xmlns:ds="http://schemas.openxmlformats.org/officeDocument/2006/customXml" ds:itemID="{0C683F7F-38FA-452A-B137-2BE4C456C086}">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9AFCE036-CB70-4BEA-9D4F-DEFD2F183AF4}">
  <ds:schemaRefs/>
</ds:datastoreItem>
</file>

<file path=customXml/itemProps17.xml><?xml version="1.0" encoding="utf-8"?>
<ds:datastoreItem xmlns:ds="http://schemas.openxmlformats.org/officeDocument/2006/customXml" ds:itemID="{38E109C5-2E84-4F87-B114-B2909FDD7E92}">
  <ds:schemaRefs/>
</ds:datastoreItem>
</file>

<file path=customXml/itemProps18.xml><?xml version="1.0" encoding="utf-8"?>
<ds:datastoreItem xmlns:ds="http://schemas.openxmlformats.org/officeDocument/2006/customXml" ds:itemID="{2602C3D6-1CC3-4E3C-9976-E98BBA07608A}">
  <ds:schemaRefs/>
</ds:datastoreItem>
</file>

<file path=customXml/itemProps19.xml><?xml version="1.0" encoding="utf-8"?>
<ds:datastoreItem xmlns:ds="http://schemas.openxmlformats.org/officeDocument/2006/customXml" ds:itemID="{1726B34E-27E4-44AF-B32B-538A89F891D7}">
  <ds:schemaRefs/>
</ds:datastoreItem>
</file>

<file path=customXml/itemProps20.xml><?xml version="1.0" encoding="utf-8"?>
<ds:datastoreItem xmlns:ds="http://schemas.openxmlformats.org/officeDocument/2006/customXml" ds:itemID="{009A43EF-AB09-4DF7-BCBD-BD0B054FA1A7}">
  <ds:schemaRefs/>
</ds:datastoreItem>
</file>

<file path=customXml/itemProps21.xml><?xml version="1.0" encoding="utf-8"?>
<ds:datastoreItem xmlns:ds="http://schemas.openxmlformats.org/officeDocument/2006/customXml" ds:itemID="{8D614C0A-C1D5-4131-B799-8087D62F9D8C}">
  <ds:schemaRefs/>
</ds:datastoreItem>
</file>

<file path=customXml/itemProps22.xml><?xml version="1.0" encoding="utf-8"?>
<ds:datastoreItem xmlns:ds="http://schemas.openxmlformats.org/officeDocument/2006/customXml" ds:itemID="{7EBAD9F7-20F9-4DD8-B5A1-D8BE043A97C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pivot table</vt:lpstr>
      <vt:lpstr>trades</vt:lpstr>
      <vt:lpstr>traders</vt:lpstr>
      <vt:lpstr>client </vt:lpstr>
      <vt:lpstr>productname</vt:lpstr>
      <vt:lpstr>invoice</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2026-10-07T17:23:48Z</dcterms:modified>
</cp:coreProperties>
</file>