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power bi\"/>
    </mc:Choice>
  </mc:AlternateContent>
  <xr:revisionPtr revIDLastSave="0" documentId="13_ncr:1_{14B6C674-4821-402A-8166-9981C7C7F9DD}" xr6:coauthVersionLast="47" xr6:coauthVersionMax="47" xr10:uidLastSave="{00000000-0000-0000-0000-000000000000}"/>
  <bookViews>
    <workbookView xWindow="-108" yWindow="-108" windowWidth="23256" windowHeight="12456" firstSheet="1" activeTab="7" xr2:uid="{12120B74-1E2A-4740-BDBD-5E619114E9BB}"/>
  </bookViews>
  <sheets>
    <sheet name="pivot table" sheetId="3" r:id="rId1"/>
    <sheet name="trades" sheetId="1" r:id="rId2"/>
    <sheet name="traders" sheetId="2" r:id="rId3"/>
    <sheet name="client " sheetId="4" r:id="rId4"/>
    <sheet name="productname" sheetId="5" r:id="rId5"/>
    <sheet name="invoice" sheetId="6" r:id="rId6"/>
    <sheet name="dashboard" sheetId="9" r:id="rId7"/>
    <sheet name="pivot table sales" sheetId="8" r:id="rId8"/>
    <sheet name="data raw sales" sheetId="7" r:id="rId9"/>
  </sheets>
  <definedNames>
    <definedName name="_xlcn.WorksheetConnection_relationships.xlsxclient1" hidden="1">client[]</definedName>
    <definedName name="_xlcn.WorksheetConnection_relationships.xlsxinvoice1" hidden="1">invoice[]</definedName>
    <definedName name="_xlcn.WorksheetConnection_relationships.xlsxproductname1" hidden="1">productname[]</definedName>
    <definedName name="_xlcn.WorksheetConnection_relationships.xlsxtraders1" hidden="1">traders[]</definedName>
    <definedName name="_xlcn.WorksheetConnection_relationships.xlsxtrades1" hidden="1">trades[]</definedName>
  </definedNames>
  <calcPr calcId="191029"/>
  <pivotCaches>
    <pivotCache cacheId="0" r:id="rId10"/>
    <pivotCache cacheId="7" r:id="rId11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des" name="trades" connection="WorksheetConnection_relationships.xlsx!trades"/>
          <x15:modelTable id="traders" name="traders" connection="WorksheetConnection_relationships.xlsx!traders"/>
          <x15:modelTable id="client" name="client" connection="WorksheetConnection_relationships.xlsx!client"/>
          <x15:modelTable id="productname" name="productname" connection="WorksheetConnection_relationships.xlsx!productname"/>
          <x15:modelTable id="invoice" name="invoice" connection="WorksheetConnection_relationships.xlsx!invoice"/>
        </x15:modelTables>
        <x15:modelRelationships>
          <x15:modelRelationship fromTable="trades" fromColumn="tradeid" toTable="traders" toColumn="tradeid"/>
          <x15:modelRelationship fromTable="invoice" fromColumn="clientid" toTable="client" toColumn="clientid"/>
          <x15:modelRelationship fromTable="invoice" fromColumn="productname" toTable="productname" toColumn="productnam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" i="6" l="1"/>
  <c r="A4" i="6"/>
  <c r="A5" i="6"/>
  <c r="A6" i="6"/>
  <c r="A7" i="6"/>
  <c r="A8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ECCD8D2-FA07-458C-8908-0808F4C1105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DC25EFA7-AB28-4FC8-94D5-C651B498632A}" name="WorksheetConnection_relationships.xlsx!client" type="102" refreshedVersion="8" minRefreshableVersion="5">
    <extLst>
      <ext xmlns:x15="http://schemas.microsoft.com/office/spreadsheetml/2010/11/main" uri="{DE250136-89BD-433C-8126-D09CA5730AF9}">
        <x15:connection id="client">
          <x15:rangePr sourceName="_xlcn.WorksheetConnection_relationships.xlsxclient1"/>
        </x15:connection>
      </ext>
    </extLst>
  </connection>
  <connection id="3" xr16:uid="{E81703BA-1608-4684-B7DC-16CDD884629D}" name="WorksheetConnection_relationships.xlsx!invoice" type="102" refreshedVersion="8" minRefreshableVersion="5">
    <extLst>
      <ext xmlns:x15="http://schemas.microsoft.com/office/spreadsheetml/2010/11/main" uri="{DE250136-89BD-433C-8126-D09CA5730AF9}">
        <x15:connection id="invoice">
          <x15:rangePr sourceName="_xlcn.WorksheetConnection_relationships.xlsxinvoice1"/>
        </x15:connection>
      </ext>
    </extLst>
  </connection>
  <connection id="4" xr16:uid="{771A8609-BCEE-444F-88B0-B9FF228D5F86}" name="WorksheetConnection_relationships.xlsx!productname" type="102" refreshedVersion="8" minRefreshableVersion="5">
    <extLst>
      <ext xmlns:x15="http://schemas.microsoft.com/office/spreadsheetml/2010/11/main" uri="{DE250136-89BD-433C-8126-D09CA5730AF9}">
        <x15:connection id="productname">
          <x15:rangePr sourceName="_xlcn.WorksheetConnection_relationships.xlsxproductname1"/>
        </x15:connection>
      </ext>
    </extLst>
  </connection>
  <connection id="5" xr16:uid="{B53FBF94-24C4-41E0-94F4-04D6179CBB02}" name="WorksheetConnection_relationships.xlsx!traders" type="102" refreshedVersion="8" minRefreshableVersion="5">
    <extLst>
      <ext xmlns:x15="http://schemas.microsoft.com/office/spreadsheetml/2010/11/main" uri="{DE250136-89BD-433C-8126-D09CA5730AF9}">
        <x15:connection id="traders" autoDelete="1">
          <x15:rangePr sourceName="_xlcn.WorksheetConnection_relationships.xlsxtraders1"/>
        </x15:connection>
      </ext>
    </extLst>
  </connection>
  <connection id="6" xr16:uid="{B38D025D-3105-4E6D-9AD1-C7EA5D627E31}" name="WorksheetConnection_relationships.xlsx!trades" type="102" refreshedVersion="8" minRefreshableVersion="5">
    <extLst>
      <ext xmlns:x15="http://schemas.microsoft.com/office/spreadsheetml/2010/11/main" uri="{DE250136-89BD-433C-8126-D09CA5730AF9}">
        <x15:connection id="trades">
          <x15:rangePr sourceName="_xlcn.WorksheetConnection_relationships.xlsxtrades1"/>
        </x15:connection>
      </ext>
    </extLst>
  </connection>
</connections>
</file>

<file path=xl/sharedStrings.xml><?xml version="1.0" encoding="utf-8"?>
<sst xmlns="http://schemas.openxmlformats.org/spreadsheetml/2006/main" count="237" uniqueCount="72">
  <si>
    <t>tradeid</t>
  </si>
  <si>
    <t>pair</t>
  </si>
  <si>
    <t>profit</t>
  </si>
  <si>
    <t>eurusd</t>
  </si>
  <si>
    <t>name</t>
  </si>
  <si>
    <t>lastname</t>
  </si>
  <si>
    <t>abod</t>
  </si>
  <si>
    <t>tata</t>
  </si>
  <si>
    <t>kaka</t>
  </si>
  <si>
    <t>lala</t>
  </si>
  <si>
    <t>jaja</t>
  </si>
  <si>
    <t>hajar</t>
  </si>
  <si>
    <t>houda</t>
  </si>
  <si>
    <t>asmaa</t>
  </si>
  <si>
    <t>Grand Total</t>
  </si>
  <si>
    <t>trades total</t>
  </si>
  <si>
    <t>total profit</t>
  </si>
  <si>
    <t>name traders</t>
  </si>
  <si>
    <t>clientid</t>
  </si>
  <si>
    <t>country</t>
  </si>
  <si>
    <t>hind</t>
  </si>
  <si>
    <t>kika</t>
  </si>
  <si>
    <t>meryem</t>
  </si>
  <si>
    <t>jija</t>
  </si>
  <si>
    <t>abdo</t>
  </si>
  <si>
    <t>lola</t>
  </si>
  <si>
    <t>simo</t>
  </si>
  <si>
    <t>haha</t>
  </si>
  <si>
    <t>walid</t>
  </si>
  <si>
    <t>dada</t>
  </si>
  <si>
    <t>mali</t>
  </si>
  <si>
    <t>maroc</t>
  </si>
  <si>
    <t>us</t>
  </si>
  <si>
    <t>negerie</t>
  </si>
  <si>
    <t>productname</t>
  </si>
  <si>
    <t>price</t>
  </si>
  <si>
    <t>qte</t>
  </si>
  <si>
    <t>tv</t>
  </si>
  <si>
    <t>pc</t>
  </si>
  <si>
    <t>clavie</t>
  </si>
  <si>
    <t>souris</t>
  </si>
  <si>
    <t>date</t>
  </si>
  <si>
    <t>S No</t>
  </si>
  <si>
    <t>Date</t>
  </si>
  <si>
    <t>Salesman</t>
  </si>
  <si>
    <t>Region</t>
  </si>
  <si>
    <t>Item</t>
  </si>
  <si>
    <t>Qty</t>
  </si>
  <si>
    <t>Price</t>
  </si>
  <si>
    <t>Amount</t>
  </si>
  <si>
    <t>Ahmed Said</t>
  </si>
  <si>
    <t>Cairo</t>
  </si>
  <si>
    <t>Mouse</t>
  </si>
  <si>
    <t>Ali Ramadan</t>
  </si>
  <si>
    <t>Domietta</t>
  </si>
  <si>
    <t>Scanner</t>
  </si>
  <si>
    <t>Ashraf Zaki</t>
  </si>
  <si>
    <t>Printer</t>
  </si>
  <si>
    <t>Fathy Ali</t>
  </si>
  <si>
    <t>Tamer Mohamed</t>
  </si>
  <si>
    <t>Khaled Hassan</t>
  </si>
  <si>
    <t>Laptop</t>
  </si>
  <si>
    <t>Giza</t>
  </si>
  <si>
    <t>Speaker</t>
  </si>
  <si>
    <t>Alexandria</t>
  </si>
  <si>
    <t>Monitor</t>
  </si>
  <si>
    <t>Headset</t>
  </si>
  <si>
    <t>Keyboard</t>
  </si>
  <si>
    <t>Sum of Amount</t>
  </si>
  <si>
    <t>saleman by total amount</t>
  </si>
  <si>
    <t>products by total amount</t>
  </si>
  <si>
    <t>Count of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</si>
</sst>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4" fontId="0" fillId="0" borderId="2" xfId="0" applyNumberFormat="1" applyBorder="1"/>
    <xf numFmtId="14" fontId="0" fillId="0" borderId="7" xfId="0" applyNumberFormat="1" applyBorder="1"/>
    <xf numFmtId="1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39">
    <dxf>
      <numFmt numFmtId="3" formatCode="#,##0"/>
    </dxf>
    <dxf>
      <numFmt numFmtId="3" formatCode="#,##0"/>
    </dxf>
    <dxf>
      <numFmt numFmtId="19" formatCode="m/d/yyyy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39" Type="http://schemas.openxmlformats.org/officeDocument/2006/relationships/customXml" Target="../customXml/item22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38" Type="http://schemas.openxmlformats.org/officeDocument/2006/relationships/customXml" Target="../customXml/item21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4</xdr:col>
      <xdr:colOff>244887</xdr:colOff>
      <xdr:row>4</xdr:row>
      <xdr:rowOff>71691</xdr:rowOff>
    </xdr:to>
    <xdr:sp macro="" textlink="">
      <xdr:nvSpPr>
        <xdr:cNvPr id="2" name="B43B9E99-EEEB-43E0-84A8-B82E90D6F7D8">
          <a:extLst>
            <a:ext uri="{FF2B5EF4-FFF2-40B4-BE49-F238E27FC236}">
              <a16:creationId xmlns:a16="http://schemas.microsoft.com/office/drawing/2014/main" id="{AB12AB9A-5201-F44F-4D19-283B7C0DCAE4}"/>
            </a:ext>
          </a:extLst>
        </xdr:cNvPr>
        <xdr:cNvSpPr txBox="1"/>
      </xdr:nvSpPr>
      <xdr:spPr>
        <a:xfrm>
          <a:off x="127000" y="127000"/>
          <a:ext cx="2563907" cy="676211"/>
        </a:xfrm>
        <a:prstGeom prst="rect">
          <a:avLst/>
        </a:prstGeom>
        <a:solidFill>
          <a:schemeClr val="lt1"/>
        </a:solidFill>
        <a:ln w="9525" cmpd="sng">
          <a:noFill/>
        </a:ln>
        <a:effectLst/>
        <a:extLs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63500" tIns="63500" rIns="63500" bIns="63500" rtlCol="0" anchor="t">
          <a:spAutoFit/>
        </a:bodyPr>
        <a:lstStyle/>
        <a:p>
          <a:r>
            <a:rPr lang="en-US" sz="1300" b="1"/>
            <a:t>3D Maps Tours
</a:t>
          </a:r>
          <a:r>
            <a:rPr lang="en-US" sz="1100"/>
            <a:t>This workbook has 3D Maps tours available.
Open 3D Maps to edit or play the tours.</a:t>
          </a:r>
        </a:p>
      </xdr:txBody>
    </xdr:sp>
    <xdr:clientData/>
  </xdr:twoCellAnchor>
</xdr:wsDr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HINKPAD" refreshedDate="46300.528201041663" backgroundQuery="1" createdVersion="8" refreshedVersion="8" minRefreshableVersion="3" recordCount="0" supportSubquery="1" supportAdvancedDrill="1" xr:uid="{A92920C6-CE68-4E81-89F9-7ED7CE12EFFE}">
  <cacheSource type="external" connectionId="1"/>
  <cacheFields count="3">
    <cacheField name="[traders].[name].[name]" caption="name" numFmtId="0" hierarchy="12" level="1">
      <sharedItems count="4">
        <s v="abod"/>
        <s v="asmaa"/>
        <s v="hajar"/>
        <s v="houda"/>
      </sharedItems>
    </cacheField>
    <cacheField name="[Measures].[Sum of profit]" caption="Sum of profit" numFmtId="0" hierarchy="17" level="32767"/>
    <cacheField name="[Measures].[Count of tradeid]" caption="Count of tradeid" numFmtId="0" hierarchy="23" level="32767"/>
  </cacheFields>
  <cacheHierarchies count="30">
    <cacheHierarchy uniqueName="[client].[clientid]" caption="clientid" attribute="1" defaultMemberUniqueName="[client].[clientid].[All]" allUniqueName="[client].[clientid].[All]" dimensionUniqueName="[client]" displayFolder="" count="0" memberValueDatatype="20" unbalanced="0"/>
    <cacheHierarchy uniqueName="[client].[name]" caption="name" attribute="1" defaultMemberUniqueName="[client].[name].[All]" allUniqueName="[client].[name].[All]" dimensionUniqueName="[client]" displayFolder="" count="0" memberValueDatatype="130" unbalanced="0"/>
    <cacheHierarchy uniqueName="[client].[lastname]" caption="lastname" attribute="1" defaultMemberUniqueName="[client].[lastname].[All]" allUniqueName="[client].[lastname].[All]" dimensionUniqueName="[client]" displayFolder="" count="0" memberValueDatatype="130" unbalanced="0"/>
    <cacheHierarchy uniqueName="[client].[country]" caption="country" attribute="1" defaultMemberUniqueName="[client].[country].[All]" allUniqueName="[client].[country].[All]" dimensionUniqueName="[client]" displayFolder="" count="0" memberValueDatatype="130" unbalanced="0"/>
    <cacheHierarchy uniqueName="[invoice].[date]" caption="date" attribute="1" time="1" defaultMemberUniqueName="[invoice].[date].[All]" allUniqueName="[invoice].[date].[All]" dimensionUniqueName="[invoice]" displayFolder="" count="0" memberValueDatatype="7" unbalanced="0"/>
    <cacheHierarchy uniqueName="[invoice].[clientid]" caption="clientid" attribute="1" defaultMemberUniqueName="[invoice].[clientid].[All]" allUniqueName="[invoice].[clientid].[All]" dimensionUniqueName="[invoice]" displayFolder="" count="0" memberValueDatatype="20" unbalanced="0"/>
    <cacheHierarchy uniqueName="[invoice].[productname]" caption="productname" attribute="1" defaultMemberUniqueName="[invoice].[productname].[All]" allUniqueName="[invoice].[productname].[All]" dimensionUniqueName="[invoice]" displayFolder="" count="0" memberValueDatatype="130" unbalanced="0"/>
    <cacheHierarchy uniqueName="[productname].[productname]" caption="productname" attribute="1" defaultMemberUniqueName="[productname].[productname].[All]" allUniqueName="[productname].[productname].[All]" dimensionUniqueName="[productname]" displayFolder="" count="0" memberValueDatatype="130" unbalanced="0"/>
    <cacheHierarchy uniqueName="[productname].[price]" caption="price" attribute="1" defaultMemberUniqueName="[productname].[price].[All]" allUniqueName="[productname].[price].[All]" dimensionUniqueName="[productname]" displayFolder="" count="0" memberValueDatatype="20" unbalanced="0"/>
    <cacheHierarchy uniqueName="[productname].[qte]" caption="qte" attribute="1" defaultMemberUniqueName="[productname].[qte].[All]" allUniqueName="[productname].[qte].[All]" dimensionUniqueName="[productname]" displayFolder="" count="0" memberValueDatatype="20" unbalanced="0"/>
    <cacheHierarchy uniqueName="[productname].[count sales]" caption="count sales" attribute="1" defaultMemberUniqueName="[productname].[count sales].[All]" allUniqueName="[productname].[count sales].[All]" dimensionUniqueName="[productname]" displayFolder="" count="0" memberValueDatatype="20" unbalanced="0"/>
    <cacheHierarchy uniqueName="[traders].[tradeid]" caption="tradeid" attribute="1" defaultMemberUniqueName="[traders].[tradeid].[All]" allUniqueName="[traders].[tradeid].[All]" dimensionUniqueName="[traders]" displayFolder="" count="0" memberValueDatatype="20" unbalanced="0"/>
    <cacheHierarchy uniqueName="[traders].[name]" caption="name" attribute="1" defaultMemberUniqueName="[traders].[name].[All]" allUniqueName="[traders].[name].[All]" dimensionUniqueName="[traders]" displayFolder="" count="2" memberValueDatatype="130" unbalanced="0">
      <fieldsUsage count="2">
        <fieldUsage x="-1"/>
        <fieldUsage x="0"/>
      </fieldsUsage>
    </cacheHierarchy>
    <cacheHierarchy uniqueName="[traders].[lastname]" caption="lastname" attribute="1" defaultMemberUniqueName="[traders].[lastname].[All]" allUniqueName="[traders].[lastname].[All]" dimensionUniqueName="[traders]" displayFolder="" count="0" memberValueDatatype="130" unbalanced="0"/>
    <cacheHierarchy uniqueName="[trades].[tradeid]" caption="tradeid" attribute="1" defaultMemberUniqueName="[trades].[tradeid].[All]" allUniqueName="[trades].[tradeid].[All]" dimensionUniqueName="[trades]" displayFolder="" count="0" memberValueDatatype="20" unbalanced="0"/>
    <cacheHierarchy uniqueName="[trades].[pair]" caption="pair" attribute="1" defaultMemberUniqueName="[trades].[pair].[All]" allUniqueName="[trades].[pair].[All]" dimensionUniqueName="[trades]" displayFolder="" count="0" memberValueDatatype="130" unbalanced="0"/>
    <cacheHierarchy uniqueName="[trades].[profit]" caption="profit" attribute="1" defaultMemberUniqueName="[trades].[profit].[All]" allUniqueName="[trades].[profit].[All]" dimensionUniqueName="[trades]" displayFolder="" count="0" memberValueDatatype="20" unbalanced="0"/>
    <cacheHierarchy uniqueName="[Measures].[Sum of profit]" caption="Sum of profit" measure="1" displayFolder="" measureGroup="trade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lastname]" caption="Count of lastname" measure="1" displayFolder="" measureGroup="trader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tradeid]" caption="Sum of tradeid" measure="1" displayFolder="" measureGroup="trader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pair]" caption="Count of pair" measure="1" displayFolder="" measureGroup="trade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tradeid 2]" caption="Sum of tradeid 2" measure="1" displayFolder="" measureGroup="trade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tdDev of tradeid]" caption="StdDev of tradeid" measure="1" displayFolder="" measureGroup="trade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tradeid]" caption="Count of tradeid" measure="1" displayFolder="" measureGroup="trade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__XL_Count traders]" caption="__XL_Count traders" measure="1" displayFolder="" measureGroup="traders" count="0" hidden="1"/>
    <cacheHierarchy uniqueName="[Measures].[__XL_Count trades]" caption="__XL_Count trades" measure="1" displayFolder="" measureGroup="trades" count="0" hidden="1"/>
    <cacheHierarchy uniqueName="[Measures].[__XL_Count client]" caption="__XL_Count client" measure="1" displayFolder="" measureGroup="client" count="0" hidden="1"/>
    <cacheHierarchy uniqueName="[Measures].[__XL_Count productname]" caption="__XL_Count productname" measure="1" displayFolder="" measureGroup="productname" count="0" hidden="1"/>
    <cacheHierarchy uniqueName="[Measures].[__XL_Count invoice]" caption="__XL_Count invoice" measure="1" displayFolder="" measureGroup="invoice" count="0" hidden="1"/>
    <cacheHierarchy uniqueName="[Measures].[__No measures defined]" caption="__No measures defined" measure="1" displayFolder="" count="0" hidden="1"/>
  </cacheHierarchies>
  <kpis count="0"/>
  <dimensions count="6">
    <dimension name="client" uniqueName="[client]" caption="client"/>
    <dimension name="invoice" uniqueName="[invoice]" caption="invoice"/>
    <dimension measure="1" name="Measures" uniqueName="[Measures]" caption="Measures"/>
    <dimension name="productname" uniqueName="[productname]" caption="productname"/>
    <dimension name="traders" uniqueName="[traders]" caption="traders"/>
    <dimension name="trades" uniqueName="[trades]" caption="trades"/>
  </dimensions>
  <measureGroups count="5">
    <measureGroup name="client" caption="client"/>
    <measureGroup name="invoice" caption="invoice"/>
    <measureGroup name="productname" caption="productname"/>
    <measureGroup name="traders" caption="traders"/>
    <measureGroup name="trades" caption="trades"/>
  </measureGroups>
  <maps count="8">
    <map measureGroup="0" dimension="0"/>
    <map measureGroup="1" dimension="0"/>
    <map measureGroup="1" dimension="1"/>
    <map measureGroup="1" dimension="3"/>
    <map measureGroup="2" dimension="3"/>
    <map measureGroup="3" dimension="4"/>
    <map measureGroup="4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301.90942974537" createdVersion="8" refreshedVersion="8" minRefreshableVersion="3" recordCount="40" xr:uid="{D641DFE7-4C15-4723-BED5-80B09CEFB3D8}">
  <cacheSource type="worksheet">
    <worksheetSource name="dataraw"/>
  </cacheSource>
  <cacheFields count="8">
    <cacheField name="S No" numFmtId="0">
      <sharedItems containsSemiMixedTypes="0" containsString="0" containsNumber="1" containsInteger="1" minValue="1" maxValue="40"/>
    </cacheField>
    <cacheField name="Date" numFmtId="14">
      <sharedItems containsSemiMixedTypes="0" containsNonDate="0" containsDate="1" containsString="0" minDate="2023-01-01T00:00:00" maxDate="2023-02-10T00:00:00"/>
    </cacheField>
    <cacheField name="Salesman" numFmtId="0">
      <sharedItems count="6">
        <s v="Ahmed Said"/>
        <s v="Ali Ramadan"/>
        <s v="Ashraf Zaki"/>
        <s v="Fathy Ali"/>
        <s v="Tamer Mohamed"/>
        <s v="Khaled Hassan"/>
      </sharedItems>
    </cacheField>
    <cacheField name="Region" numFmtId="0">
      <sharedItems/>
    </cacheField>
    <cacheField name="Item" numFmtId="0">
      <sharedItems count="8">
        <s v="Mouse"/>
        <s v="Scanner"/>
        <s v="Printer"/>
        <s v="Laptop"/>
        <s v="Speaker"/>
        <s v="Monitor"/>
        <s v="Headset"/>
        <s v="Keyboard"/>
      </sharedItems>
    </cacheField>
    <cacheField name="Qty" numFmtId="0">
      <sharedItems containsSemiMixedTypes="0" containsString="0" containsNumber="1" containsInteger="1" minValue="1" maxValue="8"/>
    </cacheField>
    <cacheField name="Price" numFmtId="0">
      <sharedItems containsSemiMixedTypes="0" containsString="0" containsNumber="1" containsInteger="1" minValue="190" maxValue="8500"/>
    </cacheField>
    <cacheField name="Amount" numFmtId="0">
      <sharedItems containsSemiMixedTypes="0" containsString="0" containsNumber="1" containsInteger="1" minValue="190" maxValue="68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"/>
    <d v="2023-01-01T00:00:00"/>
    <x v="0"/>
    <s v="Cairo"/>
    <x v="0"/>
    <n v="5"/>
    <n v="210"/>
    <n v="1050"/>
  </r>
  <r>
    <n v="2"/>
    <d v="2023-01-02T00:00:00"/>
    <x v="1"/>
    <s v="Domietta"/>
    <x v="1"/>
    <n v="3"/>
    <n v="1500"/>
    <n v="4500"/>
  </r>
  <r>
    <n v="3"/>
    <d v="2023-01-03T00:00:00"/>
    <x v="2"/>
    <s v="Cairo"/>
    <x v="2"/>
    <n v="7"/>
    <n v="2100"/>
    <n v="14700"/>
  </r>
  <r>
    <n v="4"/>
    <d v="2023-01-04T00:00:00"/>
    <x v="3"/>
    <s v="Cairo"/>
    <x v="0"/>
    <n v="2"/>
    <n v="210"/>
    <n v="420"/>
  </r>
  <r>
    <n v="5"/>
    <d v="2023-01-05T00:00:00"/>
    <x v="4"/>
    <s v="Domietta"/>
    <x v="1"/>
    <n v="1"/>
    <n v="1500"/>
    <n v="1500"/>
  </r>
  <r>
    <n v="6"/>
    <d v="2023-01-06T00:00:00"/>
    <x v="5"/>
    <s v="Domietta"/>
    <x v="3"/>
    <n v="4"/>
    <n v="8500"/>
    <n v="34000"/>
  </r>
  <r>
    <n v="7"/>
    <d v="2023-01-07T00:00:00"/>
    <x v="0"/>
    <s v="Giza"/>
    <x v="4"/>
    <n v="1"/>
    <n v="300"/>
    <n v="300"/>
  </r>
  <r>
    <n v="8"/>
    <d v="2023-01-08T00:00:00"/>
    <x v="1"/>
    <s v="Domietta"/>
    <x v="3"/>
    <n v="6"/>
    <n v="8500"/>
    <n v="51000"/>
  </r>
  <r>
    <n v="9"/>
    <d v="2023-01-09T00:00:00"/>
    <x v="2"/>
    <s v="Alexandria"/>
    <x v="5"/>
    <n v="4"/>
    <n v="1200"/>
    <n v="4800"/>
  </r>
  <r>
    <n v="10"/>
    <d v="2023-01-10T00:00:00"/>
    <x v="3"/>
    <s v="Alexandria"/>
    <x v="2"/>
    <n v="2"/>
    <n v="2100"/>
    <n v="4200"/>
  </r>
  <r>
    <n v="11"/>
    <d v="2023-01-11T00:00:00"/>
    <x v="4"/>
    <s v="Giza"/>
    <x v="2"/>
    <n v="6"/>
    <n v="2100"/>
    <n v="12600"/>
  </r>
  <r>
    <n v="12"/>
    <d v="2023-01-12T00:00:00"/>
    <x v="5"/>
    <s v="Alexandria"/>
    <x v="4"/>
    <n v="1"/>
    <n v="300"/>
    <n v="300"/>
  </r>
  <r>
    <n v="13"/>
    <d v="2023-01-13T00:00:00"/>
    <x v="0"/>
    <s v="Giza"/>
    <x v="2"/>
    <n v="7"/>
    <n v="2100"/>
    <n v="14700"/>
  </r>
  <r>
    <n v="14"/>
    <d v="2023-01-14T00:00:00"/>
    <x v="1"/>
    <s v="Cairo"/>
    <x v="4"/>
    <n v="6"/>
    <n v="300"/>
    <n v="1800"/>
  </r>
  <r>
    <n v="15"/>
    <d v="2023-01-15T00:00:00"/>
    <x v="2"/>
    <s v="Domietta"/>
    <x v="2"/>
    <n v="1"/>
    <n v="2100"/>
    <n v="2100"/>
  </r>
  <r>
    <n v="16"/>
    <d v="2023-01-16T00:00:00"/>
    <x v="3"/>
    <s v="Domietta"/>
    <x v="4"/>
    <n v="2"/>
    <n v="300"/>
    <n v="600"/>
  </r>
  <r>
    <n v="17"/>
    <d v="2023-01-17T00:00:00"/>
    <x v="4"/>
    <s v="Domietta"/>
    <x v="2"/>
    <n v="7"/>
    <n v="2100"/>
    <n v="14700"/>
  </r>
  <r>
    <n v="18"/>
    <d v="2023-01-18T00:00:00"/>
    <x v="5"/>
    <s v="Alexandria"/>
    <x v="6"/>
    <n v="6"/>
    <n v="450"/>
    <n v="2700"/>
  </r>
  <r>
    <n v="19"/>
    <d v="2023-01-19T00:00:00"/>
    <x v="0"/>
    <s v="Domietta"/>
    <x v="7"/>
    <n v="6"/>
    <n v="190"/>
    <n v="1140"/>
  </r>
  <r>
    <n v="20"/>
    <d v="2023-01-20T00:00:00"/>
    <x v="1"/>
    <s v="Domietta"/>
    <x v="4"/>
    <n v="2"/>
    <n v="300"/>
    <n v="600"/>
  </r>
  <r>
    <n v="21"/>
    <d v="2023-01-21T00:00:00"/>
    <x v="2"/>
    <s v="Domietta"/>
    <x v="1"/>
    <n v="3"/>
    <n v="1500"/>
    <n v="4500"/>
  </r>
  <r>
    <n v="22"/>
    <d v="2023-01-22T00:00:00"/>
    <x v="3"/>
    <s v="Giza"/>
    <x v="3"/>
    <n v="5"/>
    <n v="8500"/>
    <n v="42500"/>
  </r>
  <r>
    <n v="23"/>
    <d v="2023-01-23T00:00:00"/>
    <x v="4"/>
    <s v="Domietta"/>
    <x v="7"/>
    <n v="1"/>
    <n v="190"/>
    <n v="190"/>
  </r>
  <r>
    <n v="24"/>
    <d v="2023-01-24T00:00:00"/>
    <x v="5"/>
    <s v="Domietta"/>
    <x v="0"/>
    <n v="6"/>
    <n v="210"/>
    <n v="1260"/>
  </r>
  <r>
    <n v="25"/>
    <d v="2023-01-25T00:00:00"/>
    <x v="0"/>
    <s v="Giza"/>
    <x v="4"/>
    <n v="2"/>
    <n v="300"/>
    <n v="600"/>
  </r>
  <r>
    <n v="26"/>
    <d v="2023-01-26T00:00:00"/>
    <x v="1"/>
    <s v="Domietta"/>
    <x v="7"/>
    <n v="4"/>
    <n v="190"/>
    <n v="760"/>
  </r>
  <r>
    <n v="27"/>
    <d v="2023-01-27T00:00:00"/>
    <x v="2"/>
    <s v="Giza"/>
    <x v="3"/>
    <n v="8"/>
    <n v="8500"/>
    <n v="68000"/>
  </r>
  <r>
    <n v="28"/>
    <d v="2023-01-28T00:00:00"/>
    <x v="3"/>
    <s v="Domietta"/>
    <x v="4"/>
    <n v="3"/>
    <n v="300"/>
    <n v="900"/>
  </r>
  <r>
    <n v="29"/>
    <d v="2023-01-29T00:00:00"/>
    <x v="4"/>
    <s v="Domietta"/>
    <x v="4"/>
    <n v="7"/>
    <n v="300"/>
    <n v="2100"/>
  </r>
  <r>
    <n v="30"/>
    <d v="2023-01-30T00:00:00"/>
    <x v="5"/>
    <s v="Giza"/>
    <x v="7"/>
    <n v="4"/>
    <n v="190"/>
    <n v="760"/>
  </r>
  <r>
    <n v="31"/>
    <d v="2023-01-31T00:00:00"/>
    <x v="0"/>
    <s v="Domietta"/>
    <x v="6"/>
    <n v="2"/>
    <n v="450"/>
    <n v="900"/>
  </r>
  <r>
    <n v="32"/>
    <d v="2023-02-01T00:00:00"/>
    <x v="1"/>
    <s v="Cairo"/>
    <x v="2"/>
    <n v="3"/>
    <n v="2100"/>
    <n v="6300"/>
  </r>
  <r>
    <n v="33"/>
    <d v="2023-02-02T00:00:00"/>
    <x v="2"/>
    <s v="Domietta"/>
    <x v="3"/>
    <n v="2"/>
    <n v="8500"/>
    <n v="17000"/>
  </r>
  <r>
    <n v="34"/>
    <d v="2023-02-03T00:00:00"/>
    <x v="3"/>
    <s v="Giza"/>
    <x v="3"/>
    <n v="8"/>
    <n v="8500"/>
    <n v="68000"/>
  </r>
  <r>
    <n v="35"/>
    <d v="2023-02-04T00:00:00"/>
    <x v="4"/>
    <s v="Alexandria"/>
    <x v="0"/>
    <n v="2"/>
    <n v="210"/>
    <n v="420"/>
  </r>
  <r>
    <n v="36"/>
    <d v="2023-02-05T00:00:00"/>
    <x v="5"/>
    <s v="Alexandria"/>
    <x v="7"/>
    <n v="2"/>
    <n v="190"/>
    <n v="380"/>
  </r>
  <r>
    <n v="37"/>
    <d v="2023-02-06T00:00:00"/>
    <x v="0"/>
    <s v="Alexandria"/>
    <x v="3"/>
    <n v="3"/>
    <n v="8500"/>
    <n v="25500"/>
  </r>
  <r>
    <n v="38"/>
    <d v="2023-02-07T00:00:00"/>
    <x v="1"/>
    <s v="Giza"/>
    <x v="0"/>
    <n v="5"/>
    <n v="210"/>
    <n v="1050"/>
  </r>
  <r>
    <n v="39"/>
    <d v="2023-02-08T00:00:00"/>
    <x v="2"/>
    <s v="Domietta"/>
    <x v="2"/>
    <n v="5"/>
    <n v="2100"/>
    <n v="10500"/>
  </r>
  <r>
    <n v="40"/>
    <d v="2023-02-09T00:00:00"/>
    <x v="3"/>
    <s v="Domietta"/>
    <x v="5"/>
    <n v="6"/>
    <n v="1200"/>
    <n v="7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BED02D-DD01-4D63-8682-C39A8333C896}" name="PivotTable1" cacheId="0" applyNumberFormats="0" applyBorderFormats="0" applyFontFormats="0" applyPatternFormats="0" applyAlignmentFormats="0" applyWidthHeightFormats="1" dataCaption="Values" tag="89cc6003-0b4b-4901-801a-7ac76f13c485" updatedVersion="8" minRefreshableVersion="3" useAutoFormatting="1" itemPrintTitles="1" createdVersion="8" indent="0" outline="1" outlineData="1" multipleFieldFilters="0" rowHeaderCaption="name traders">
  <location ref="A3:C8" firstHeaderRow="0" firstDataRow="1" firstDataCol="1"/>
  <pivotFields count="3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profit" fld="1" baseField="0" baseItem="0"/>
    <dataField name="trades total" fld="2" subtotal="count" baseField="0" baseItem="1"/>
  </dataFields>
  <pivotHierarchies count="3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otal profit"/>
    <pivotHierarchy dragToData="1"/>
    <pivotHierarchy dragToData="1"/>
    <pivotHierarchy dragToData="1"/>
    <pivotHierarchy dragToData="1"/>
    <pivotHierarchy dragToData="1" caption="StdDev of tradeid"/>
    <pivotHierarchy dragToData="1" caption="trades total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ders]"/>
        <x15:activeTabTopLevelEntity name="[trad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A71428-B028-42AF-AB3D-1A4E862DBE34}" name="PivotTable5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s by total amount">
  <location ref="A17:B26" firstHeaderRow="1" firstDataRow="1" firstDataCol="1"/>
  <pivotFields count="8">
    <pivotField showAll="0"/>
    <pivotField numFmtId="14" showAll="0"/>
    <pivotField showAll="0"/>
    <pivotField showAll="0"/>
    <pivotField axis="axisRow"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/>
  </pivotFields>
  <rowFields count="1">
    <field x="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Amount" fld="7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128458-EC56-4BEB-8955-C6F5088054A7}" name="PivotTable4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aleman by total amount">
  <location ref="D19:E26" firstHeaderRow="1" firstDataRow="1" firstDataCol="1"/>
  <pivotFields count="8">
    <pivotField showAll="0"/>
    <pivotField numFmtId="14" showAll="0"/>
    <pivotField axis="axisRow" showAll="0">
      <items count="7">
        <item x="0"/>
        <item x="1"/>
        <item x="2"/>
        <item x="3"/>
        <item x="5"/>
        <item x="4"/>
        <item t="default"/>
      </items>
    </pivotField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Amount" fld="7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5A7D4C-F3B0-4140-8474-8DC713A1D055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aleman by total amount">
  <location ref="D3:E10" firstHeaderRow="1" firstDataRow="1" firstDataCol="1"/>
  <pivotFields count="8">
    <pivotField showAll="0"/>
    <pivotField numFmtId="14" showAll="0"/>
    <pivotField axis="axisRow" showAll="0">
      <items count="7">
        <item x="0"/>
        <item x="1"/>
        <item x="2"/>
        <item x="3"/>
        <item x="5"/>
        <item x="4"/>
        <item t="default"/>
      </items>
    </pivotField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Amount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CCA7B5-97F8-4219-AD97-3CE5BBB7E6F2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s by total amount">
  <location ref="A3:B12" firstHeaderRow="1" firstDataRow="1" firstDataCol="1"/>
  <pivotFields count="8">
    <pivotField showAll="0"/>
    <pivotField numFmtId="14" showAll="0"/>
    <pivotField showAll="0"/>
    <pivotField showAll="0"/>
    <pivotField axis="axisRow"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/>
  </pivotFields>
  <rowFields count="1">
    <field x="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 of Amount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E678CC-A933-4146-A266-8561FE66B063}" name="trades" displayName="trades" ref="A2:C8" totalsRowShown="0" headerRowDxfId="38" headerRowBorderDxfId="37" tableBorderDxfId="36" totalsRowBorderDxfId="35">
  <autoFilter ref="A2:C8" xr:uid="{E9E678CC-A933-4146-A266-8561FE66B063}"/>
  <tableColumns count="3">
    <tableColumn id="1" xr3:uid="{F9EC0535-D2ED-4975-8C35-424457CA2DE6}" name="tradeid" dataDxfId="34"/>
    <tableColumn id="2" xr3:uid="{9B8BB1FC-668E-49CD-A8D7-420D207088F2}" name="pair" dataDxfId="33"/>
    <tableColumn id="3" xr3:uid="{5E681BDC-3DC3-4516-B864-5D0AE1542D9F}" name="profit" dataDxfId="3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6F793BC-B311-4CDF-8DA7-E3AEA6D0D526}" name="traders" displayName="traders" ref="A2:C6" totalsRowShown="0" headerRowDxfId="31" headerRowBorderDxfId="30" tableBorderDxfId="29" totalsRowBorderDxfId="28">
  <autoFilter ref="A2:C6" xr:uid="{96F793BC-B311-4CDF-8DA7-E3AEA6D0D526}"/>
  <tableColumns count="3">
    <tableColumn id="1" xr3:uid="{68D02487-9EAC-4BB9-9D4A-0CE1E96851CB}" name="tradeid" dataDxfId="27"/>
    <tableColumn id="2" xr3:uid="{12D66D41-0E62-41A4-A2C5-9DF9CB0EA836}" name="name" dataDxfId="26"/>
    <tableColumn id="3" xr3:uid="{A9438FDE-5ADC-4819-BD3E-00588951190F}" name="lastname" dataDxfId="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486897B-78D6-4FF7-8650-B8C9CDD52BAE}" name="client" displayName="client" ref="A2:D9" totalsRowShown="0" headerRowDxfId="24" headerRowBorderDxfId="23" tableBorderDxfId="22" totalsRowBorderDxfId="21">
  <autoFilter ref="A2:D9" xr:uid="{2486897B-78D6-4FF7-8650-B8C9CDD52BAE}"/>
  <tableColumns count="4">
    <tableColumn id="1" xr3:uid="{777E8C10-BE98-4358-9481-1AB4CFB9A947}" name="clientid" dataDxfId="20"/>
    <tableColumn id="2" xr3:uid="{9A2DEB65-468F-480B-BEF5-AAF8ED365379}" name="name" dataDxfId="19"/>
    <tableColumn id="3" xr3:uid="{1B7491DC-0A23-4566-9F79-D44ECFF3B165}" name="lastname" dataDxfId="18"/>
    <tableColumn id="4" xr3:uid="{58765888-333D-4334-BE18-C549AC0D18CF}" name="country" dataDxfId="1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0EB578E-3BC9-41F0-B814-7E123E6A73E4}" name="productname" displayName="productname" ref="A3:C7" totalsRowShown="0" headerRowDxfId="16" headerRowBorderDxfId="15" tableBorderDxfId="14" totalsRowBorderDxfId="13">
  <autoFilter ref="A3:C7" xr:uid="{C0EB578E-3BC9-41F0-B814-7E123E6A73E4}"/>
  <tableColumns count="3">
    <tableColumn id="1" xr3:uid="{FE9B4DCD-B79F-4AB2-B0AD-10867D1DB9EB}" name="productname" dataDxfId="12"/>
    <tableColumn id="2" xr3:uid="{D9CDEBC8-2AA4-4242-B5E9-CB8A496F4F5C}" name="price" dataDxfId="11"/>
    <tableColumn id="3" xr3:uid="{79BDE64B-CC2F-4093-A1AC-E9408397D3C3}" name="qte" dataDxf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A9A0CE0-CDE1-4E4A-B9CB-B28BAE8443AB}" name="invoice" displayName="invoice" ref="A2:C8" totalsRowShown="0" headerRowDxfId="9" headerRowBorderDxfId="8" tableBorderDxfId="7" totalsRowBorderDxfId="6">
  <autoFilter ref="A2:C8" xr:uid="{4A9A0CE0-CDE1-4E4A-B9CB-B28BAE8443AB}"/>
  <tableColumns count="3">
    <tableColumn id="1" xr3:uid="{B6A7184C-BE63-4F0C-B6AE-738DB7257FFD}" name="date" dataDxfId="5">
      <calculatedColumnFormula>DATE(2026,10,5)</calculatedColumnFormula>
    </tableColumn>
    <tableColumn id="2" xr3:uid="{B4494D3F-AC50-4F95-AA82-23740AD1A282}" name="clientid" dataDxfId="4"/>
    <tableColumn id="3" xr3:uid="{CB7B7653-9379-419F-BB8E-37E09604FE44}" name="productname" dataDxfId="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024BCAD-14FE-4CB7-8FC4-4DC9405A7D98}" name="dataraw" displayName="dataraw" ref="A1:H41" totalsRowShown="0">
  <autoFilter ref="A1:H41" xr:uid="{5024BCAD-14FE-4CB7-8FC4-4DC9405A7D98}"/>
  <tableColumns count="8">
    <tableColumn id="1" xr3:uid="{496DC01D-C1B8-4F50-B198-021C6316EBB1}" name="S No"/>
    <tableColumn id="2" xr3:uid="{9D5EF8AD-7F70-4D2E-AAF2-AC2B5045BF09}" name="Date" dataDxfId="2"/>
    <tableColumn id="3" xr3:uid="{4DFF38DE-7B59-4B53-BE04-88EA2263FD98}" name="Salesman"/>
    <tableColumn id="4" xr3:uid="{8C4B621D-F0E4-41E3-95A4-5BF58D197771}" name="Region"/>
    <tableColumn id="5" xr3:uid="{B45792BE-DB9A-43CC-B463-58D04FFD7BE6}" name="Item"/>
    <tableColumn id="6" xr3:uid="{42458240-09FF-4A2A-914B-E1B70CDBF0D0}" name="Qty"/>
    <tableColumn id="7" xr3:uid="{2744D6BC-3E0C-4E5A-BE2A-B227D0CD0077}" name="Price" dataDxfId="1"/>
    <tableColumn id="8" xr3:uid="{ED0648F6-FD27-40AE-88F4-48D1D266766A}" name="Amou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BDB38-A9B5-4382-9700-F816AED312B7}">
  <dimension ref="A3:C8"/>
  <sheetViews>
    <sheetView workbookViewId="0">
      <selection activeCell="B4" sqref="B4"/>
    </sheetView>
  </sheetViews>
  <sheetFormatPr defaultRowHeight="14.4" x14ac:dyDescent="0.3"/>
  <cols>
    <col min="1" max="1" width="14.21875" bestFit="1" customWidth="1"/>
    <col min="2" max="2" width="9.77734375" bestFit="1" customWidth="1"/>
    <col min="3" max="3" width="10.5546875" bestFit="1" customWidth="1"/>
    <col min="4" max="4" width="4.109375" bestFit="1" customWidth="1"/>
    <col min="5" max="5" width="5" bestFit="1" customWidth="1"/>
    <col min="6" max="6" width="10.5546875" bestFit="1" customWidth="1"/>
  </cols>
  <sheetData>
    <row r="3" spans="1:3" x14ac:dyDescent="0.3">
      <c r="A3" s="10" t="s">
        <v>17</v>
      </c>
      <c r="B3" t="s">
        <v>16</v>
      </c>
      <c r="C3" t="s">
        <v>15</v>
      </c>
    </row>
    <row r="4" spans="1:3" x14ac:dyDescent="0.3">
      <c r="A4" s="11" t="s">
        <v>6</v>
      </c>
      <c r="B4" s="12">
        <v>1545</v>
      </c>
      <c r="C4" s="12">
        <v>2</v>
      </c>
    </row>
    <row r="5" spans="1:3" x14ac:dyDescent="0.3">
      <c r="A5" s="11" t="s">
        <v>13</v>
      </c>
      <c r="B5" s="12">
        <v>-667</v>
      </c>
      <c r="C5" s="12">
        <v>1</v>
      </c>
    </row>
    <row r="6" spans="1:3" x14ac:dyDescent="0.3">
      <c r="A6" s="11" t="s">
        <v>11</v>
      </c>
      <c r="B6" s="12">
        <v>1314</v>
      </c>
      <c r="C6" s="12">
        <v>2</v>
      </c>
    </row>
    <row r="7" spans="1:3" x14ac:dyDescent="0.3">
      <c r="A7" s="11" t="s">
        <v>12</v>
      </c>
      <c r="B7" s="12">
        <v>-77</v>
      </c>
      <c r="C7" s="12">
        <v>1</v>
      </c>
    </row>
    <row r="8" spans="1:3" x14ac:dyDescent="0.3">
      <c r="A8" s="11" t="s">
        <v>14</v>
      </c>
      <c r="B8" s="12">
        <v>2115</v>
      </c>
      <c r="C8" s="12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C27B1-603B-4FE8-92A4-4D1E8B3FCE9F}">
  <dimension ref="A2:C8"/>
  <sheetViews>
    <sheetView workbookViewId="0">
      <selection activeCell="G8" sqref="G8"/>
    </sheetView>
  </sheetViews>
  <sheetFormatPr defaultRowHeight="14.4" x14ac:dyDescent="0.3"/>
  <cols>
    <col min="1" max="1" width="9" customWidth="1"/>
  </cols>
  <sheetData>
    <row r="2" spans="1:3" x14ac:dyDescent="0.3">
      <c r="A2" s="4" t="s">
        <v>0</v>
      </c>
      <c r="B2" s="5" t="s">
        <v>1</v>
      </c>
      <c r="C2" s="6" t="s">
        <v>2</v>
      </c>
    </row>
    <row r="3" spans="1:3" x14ac:dyDescent="0.3">
      <c r="A3" s="2">
        <v>100</v>
      </c>
      <c r="B3" s="1" t="s">
        <v>3</v>
      </c>
      <c r="C3" s="3">
        <v>563</v>
      </c>
    </row>
    <row r="4" spans="1:3" x14ac:dyDescent="0.3">
      <c r="A4" s="2">
        <v>200</v>
      </c>
      <c r="B4" s="1" t="s">
        <v>3</v>
      </c>
      <c r="C4" s="3">
        <v>778</v>
      </c>
    </row>
    <row r="5" spans="1:3" x14ac:dyDescent="0.3">
      <c r="A5" s="2">
        <v>200</v>
      </c>
      <c r="B5" s="1" t="s">
        <v>3</v>
      </c>
      <c r="C5" s="3">
        <v>536</v>
      </c>
    </row>
    <row r="6" spans="1:3" x14ac:dyDescent="0.3">
      <c r="A6" s="2">
        <v>100</v>
      </c>
      <c r="B6" s="1" t="s">
        <v>3</v>
      </c>
      <c r="C6" s="3">
        <v>982</v>
      </c>
    </row>
    <row r="7" spans="1:3" x14ac:dyDescent="0.3">
      <c r="A7" s="2">
        <v>300</v>
      </c>
      <c r="B7" s="1" t="s">
        <v>3</v>
      </c>
      <c r="C7" s="3">
        <v>-77</v>
      </c>
    </row>
    <row r="8" spans="1:3" x14ac:dyDescent="0.3">
      <c r="A8" s="7">
        <v>400</v>
      </c>
      <c r="B8" s="8" t="s">
        <v>3</v>
      </c>
      <c r="C8" s="9">
        <v>-667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05DF2-EA86-4434-90CB-19D1E0ACE50B}">
  <dimension ref="A2:C6"/>
  <sheetViews>
    <sheetView workbookViewId="0">
      <selection activeCell="B3" sqref="B3"/>
    </sheetView>
  </sheetViews>
  <sheetFormatPr defaultRowHeight="14.4" x14ac:dyDescent="0.3"/>
  <cols>
    <col min="1" max="1" width="9" customWidth="1"/>
    <col min="3" max="3" width="10.6640625" customWidth="1"/>
  </cols>
  <sheetData>
    <row r="2" spans="1:3" x14ac:dyDescent="0.3">
      <c r="A2" s="4" t="s">
        <v>0</v>
      </c>
      <c r="B2" s="5" t="s">
        <v>4</v>
      </c>
      <c r="C2" s="6" t="s">
        <v>5</v>
      </c>
    </row>
    <row r="3" spans="1:3" x14ac:dyDescent="0.3">
      <c r="A3" s="2">
        <v>100</v>
      </c>
      <c r="B3" s="1" t="s">
        <v>6</v>
      </c>
      <c r="C3" s="3" t="s">
        <v>7</v>
      </c>
    </row>
    <row r="4" spans="1:3" x14ac:dyDescent="0.3">
      <c r="A4" s="2">
        <v>200</v>
      </c>
      <c r="B4" s="1" t="s">
        <v>11</v>
      </c>
      <c r="C4" s="3" t="s">
        <v>8</v>
      </c>
    </row>
    <row r="5" spans="1:3" x14ac:dyDescent="0.3">
      <c r="A5" s="2">
        <v>300</v>
      </c>
      <c r="B5" s="1" t="s">
        <v>12</v>
      </c>
      <c r="C5" s="3" t="s">
        <v>9</v>
      </c>
    </row>
    <row r="6" spans="1:3" x14ac:dyDescent="0.3">
      <c r="A6" s="7">
        <v>400</v>
      </c>
      <c r="B6" s="8" t="s">
        <v>13</v>
      </c>
      <c r="C6" s="9" t="s">
        <v>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1CA98-4F9C-4B5B-AE5A-7C01D1063E50}">
  <dimension ref="A2:D9"/>
  <sheetViews>
    <sheetView workbookViewId="0">
      <selection activeCell="C6" sqref="C6"/>
    </sheetView>
  </sheetViews>
  <sheetFormatPr defaultRowHeight="14.4" x14ac:dyDescent="0.3"/>
  <cols>
    <col min="1" max="1" width="11.44140625" customWidth="1"/>
    <col min="3" max="3" width="10.6640625" customWidth="1"/>
    <col min="4" max="4" width="9.109375" customWidth="1"/>
  </cols>
  <sheetData>
    <row r="2" spans="1:4" x14ac:dyDescent="0.3">
      <c r="A2" s="13" t="s">
        <v>18</v>
      </c>
      <c r="B2" s="14" t="s">
        <v>4</v>
      </c>
      <c r="C2" s="14" t="s">
        <v>5</v>
      </c>
      <c r="D2" s="15" t="s">
        <v>19</v>
      </c>
    </row>
    <row r="3" spans="1:4" x14ac:dyDescent="0.3">
      <c r="A3" s="2">
        <v>100</v>
      </c>
      <c r="B3" s="1" t="s">
        <v>11</v>
      </c>
      <c r="C3" s="1" t="s">
        <v>7</v>
      </c>
      <c r="D3" s="3" t="s">
        <v>30</v>
      </c>
    </row>
    <row r="4" spans="1:4" x14ac:dyDescent="0.3">
      <c r="A4" s="2">
        <v>200</v>
      </c>
      <c r="B4" s="1" t="s">
        <v>12</v>
      </c>
      <c r="C4" s="1" t="s">
        <v>9</v>
      </c>
      <c r="D4" s="3" t="s">
        <v>30</v>
      </c>
    </row>
    <row r="5" spans="1:4" x14ac:dyDescent="0.3">
      <c r="A5" s="2">
        <v>300</v>
      </c>
      <c r="B5" s="1" t="s">
        <v>20</v>
      </c>
      <c r="C5" s="1" t="s">
        <v>21</v>
      </c>
      <c r="D5" s="3" t="s">
        <v>31</v>
      </c>
    </row>
    <row r="6" spans="1:4" x14ac:dyDescent="0.3">
      <c r="A6" s="2">
        <v>400</v>
      </c>
      <c r="B6" s="1" t="s">
        <v>22</v>
      </c>
      <c r="C6" s="1" t="s">
        <v>23</v>
      </c>
      <c r="D6" s="3" t="s">
        <v>31</v>
      </c>
    </row>
    <row r="7" spans="1:4" x14ac:dyDescent="0.3">
      <c r="A7" s="2">
        <v>500</v>
      </c>
      <c r="B7" s="1" t="s">
        <v>24</v>
      </c>
      <c r="C7" s="1" t="s">
        <v>25</v>
      </c>
      <c r="D7" s="3" t="s">
        <v>32</v>
      </c>
    </row>
    <row r="8" spans="1:4" x14ac:dyDescent="0.3">
      <c r="A8" s="2">
        <v>600</v>
      </c>
      <c r="B8" s="1" t="s">
        <v>26</v>
      </c>
      <c r="C8" s="1" t="s">
        <v>27</v>
      </c>
      <c r="D8" s="3" t="s">
        <v>32</v>
      </c>
    </row>
    <row r="9" spans="1:4" x14ac:dyDescent="0.3">
      <c r="A9" s="7">
        <v>700</v>
      </c>
      <c r="B9" s="8" t="s">
        <v>28</v>
      </c>
      <c r="C9" s="8" t="s">
        <v>29</v>
      </c>
      <c r="D9" s="9" t="s">
        <v>33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E0602-22C1-45BF-BD18-9AB56A26442A}">
  <dimension ref="A3:C7"/>
  <sheetViews>
    <sheetView workbookViewId="0">
      <selection activeCell="H8" sqref="H8"/>
    </sheetView>
  </sheetViews>
  <sheetFormatPr defaultRowHeight="14.4" x14ac:dyDescent="0.3"/>
  <cols>
    <col min="1" max="1" width="14.109375" customWidth="1"/>
  </cols>
  <sheetData>
    <row r="3" spans="1:3" x14ac:dyDescent="0.3">
      <c r="A3" s="13" t="s">
        <v>34</v>
      </c>
      <c r="B3" s="14" t="s">
        <v>35</v>
      </c>
      <c r="C3" s="15" t="s">
        <v>36</v>
      </c>
    </row>
    <row r="4" spans="1:3" x14ac:dyDescent="0.3">
      <c r="A4" s="2" t="s">
        <v>37</v>
      </c>
      <c r="B4" s="1">
        <v>500</v>
      </c>
      <c r="C4" s="3">
        <v>50</v>
      </c>
    </row>
    <row r="5" spans="1:3" x14ac:dyDescent="0.3">
      <c r="A5" s="2" t="s">
        <v>38</v>
      </c>
      <c r="B5" s="1">
        <v>1000</v>
      </c>
      <c r="C5" s="3">
        <v>50</v>
      </c>
    </row>
    <row r="6" spans="1:3" x14ac:dyDescent="0.3">
      <c r="A6" s="2" t="s">
        <v>39</v>
      </c>
      <c r="B6" s="1">
        <v>50</v>
      </c>
      <c r="C6" s="3">
        <v>50</v>
      </c>
    </row>
    <row r="7" spans="1:3" x14ac:dyDescent="0.3">
      <c r="A7" s="7" t="s">
        <v>40</v>
      </c>
      <c r="B7" s="8">
        <v>30</v>
      </c>
      <c r="C7" s="9">
        <v>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A68D6-98C6-40F2-86FE-1888DA63A4D1}">
  <dimension ref="A2:C8"/>
  <sheetViews>
    <sheetView workbookViewId="0">
      <selection activeCell="E6" sqref="E6"/>
    </sheetView>
  </sheetViews>
  <sheetFormatPr defaultRowHeight="14.4" x14ac:dyDescent="0.3"/>
  <cols>
    <col min="1" max="1" width="15.88671875" customWidth="1"/>
    <col min="2" max="2" width="9.33203125" customWidth="1"/>
    <col min="3" max="3" width="14.109375" customWidth="1"/>
  </cols>
  <sheetData>
    <row r="2" spans="1:3" x14ac:dyDescent="0.3">
      <c r="A2" s="4" t="s">
        <v>41</v>
      </c>
      <c r="B2" s="5" t="s">
        <v>18</v>
      </c>
      <c r="C2" s="6" t="s">
        <v>34</v>
      </c>
    </row>
    <row r="3" spans="1:3" x14ac:dyDescent="0.3">
      <c r="A3" s="16">
        <f t="shared" ref="A3:A8" si="0">DATE(2026,10,5)</f>
        <v>46300</v>
      </c>
      <c r="B3" s="1">
        <v>100</v>
      </c>
      <c r="C3" s="3" t="s">
        <v>38</v>
      </c>
    </row>
    <row r="4" spans="1:3" x14ac:dyDescent="0.3">
      <c r="A4" s="16">
        <f t="shared" si="0"/>
        <v>46300</v>
      </c>
      <c r="B4" s="1">
        <v>100</v>
      </c>
      <c r="C4" s="3" t="s">
        <v>37</v>
      </c>
    </row>
    <row r="5" spans="1:3" x14ac:dyDescent="0.3">
      <c r="A5" s="16">
        <f t="shared" si="0"/>
        <v>46300</v>
      </c>
      <c r="B5" s="1">
        <v>200</v>
      </c>
      <c r="C5" s="3" t="s">
        <v>40</v>
      </c>
    </row>
    <row r="6" spans="1:3" x14ac:dyDescent="0.3">
      <c r="A6" s="16">
        <f t="shared" si="0"/>
        <v>46300</v>
      </c>
      <c r="B6" s="1">
        <v>300</v>
      </c>
      <c r="C6" s="3" t="s">
        <v>40</v>
      </c>
    </row>
    <row r="7" spans="1:3" x14ac:dyDescent="0.3">
      <c r="A7" s="16">
        <f t="shared" si="0"/>
        <v>46300</v>
      </c>
      <c r="B7" s="1">
        <v>400</v>
      </c>
      <c r="C7" s="3" t="s">
        <v>37</v>
      </c>
    </row>
    <row r="8" spans="1:3" x14ac:dyDescent="0.3">
      <c r="A8" s="17">
        <f t="shared" si="0"/>
        <v>46300</v>
      </c>
      <c r="B8" s="8">
        <v>200</v>
      </c>
      <c r="C8" s="9" t="s">
        <v>39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9D9CE-96E1-4E83-82C9-EEA8711E888B}">
  <sheetPr>
    <tabColor theme="9" tint="0.59999389629810485"/>
  </sheetPr>
  <dimension ref="A1"/>
  <sheetViews>
    <sheetView workbookViewId="0">
      <selection activeCell="N21" sqref="N21"/>
    </sheetView>
  </sheetViews>
  <sheetFormatPr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BFCFE-B47A-4ABE-91B3-8CD7C2DD2B68}">
  <sheetPr>
    <tabColor theme="9" tint="0.39997558519241921"/>
  </sheetPr>
  <dimension ref="A3:E26"/>
  <sheetViews>
    <sheetView tabSelected="1" topLeftCell="A4" workbookViewId="0">
      <selection activeCell="G14" sqref="G14"/>
    </sheetView>
  </sheetViews>
  <sheetFormatPr defaultRowHeight="14.4" x14ac:dyDescent="0.3"/>
  <cols>
    <col min="1" max="1" width="24.21875" bestFit="1" customWidth="1"/>
    <col min="2" max="2" width="14.6640625" bestFit="1" customWidth="1"/>
    <col min="4" max="4" width="23.88671875" bestFit="1" customWidth="1"/>
    <col min="5" max="5" width="14.6640625" bestFit="1" customWidth="1"/>
  </cols>
  <sheetData>
    <row r="3" spans="1:5" x14ac:dyDescent="0.3">
      <c r="A3" s="10" t="s">
        <v>70</v>
      </c>
      <c r="B3" t="s">
        <v>68</v>
      </c>
      <c r="D3" s="10" t="s">
        <v>69</v>
      </c>
      <c r="E3" t="s">
        <v>68</v>
      </c>
    </row>
    <row r="4" spans="1:5" x14ac:dyDescent="0.3">
      <c r="A4" s="11" t="s">
        <v>66</v>
      </c>
      <c r="B4" s="12">
        <v>3600</v>
      </c>
      <c r="D4" s="11" t="s">
        <v>50</v>
      </c>
      <c r="E4" s="12">
        <v>44190</v>
      </c>
    </row>
    <row r="5" spans="1:5" x14ac:dyDescent="0.3">
      <c r="A5" s="11" t="s">
        <v>67</v>
      </c>
      <c r="B5" s="12">
        <v>3230</v>
      </c>
      <c r="D5" s="11" t="s">
        <v>53</v>
      </c>
      <c r="E5" s="12">
        <v>66010</v>
      </c>
    </row>
    <row r="6" spans="1:5" x14ac:dyDescent="0.3">
      <c r="A6" s="11" t="s">
        <v>61</v>
      </c>
      <c r="B6" s="12">
        <v>306000</v>
      </c>
      <c r="D6" s="11" t="s">
        <v>56</v>
      </c>
      <c r="E6" s="12">
        <v>121600</v>
      </c>
    </row>
    <row r="7" spans="1:5" x14ac:dyDescent="0.3">
      <c r="A7" s="11" t="s">
        <v>65</v>
      </c>
      <c r="B7" s="12">
        <v>12000</v>
      </c>
      <c r="D7" s="11" t="s">
        <v>58</v>
      </c>
      <c r="E7" s="12">
        <v>123820</v>
      </c>
    </row>
    <row r="8" spans="1:5" x14ac:dyDescent="0.3">
      <c r="A8" s="11" t="s">
        <v>52</v>
      </c>
      <c r="B8" s="12">
        <v>4200</v>
      </c>
      <c r="D8" s="11" t="s">
        <v>60</v>
      </c>
      <c r="E8" s="12">
        <v>39400</v>
      </c>
    </row>
    <row r="9" spans="1:5" x14ac:dyDescent="0.3">
      <c r="A9" s="11" t="s">
        <v>57</v>
      </c>
      <c r="B9" s="12">
        <v>79800</v>
      </c>
      <c r="D9" s="11" t="s">
        <v>59</v>
      </c>
      <c r="E9" s="12">
        <v>31510</v>
      </c>
    </row>
    <row r="10" spans="1:5" x14ac:dyDescent="0.3">
      <c r="A10" s="11" t="s">
        <v>55</v>
      </c>
      <c r="B10" s="12">
        <v>10500</v>
      </c>
      <c r="D10" s="11" t="s">
        <v>14</v>
      </c>
      <c r="E10" s="12">
        <v>426530</v>
      </c>
    </row>
    <row r="11" spans="1:5" x14ac:dyDescent="0.3">
      <c r="A11" s="11" t="s">
        <v>63</v>
      </c>
      <c r="B11" s="12">
        <v>7200</v>
      </c>
    </row>
    <row r="12" spans="1:5" x14ac:dyDescent="0.3">
      <c r="A12" s="11" t="s">
        <v>14</v>
      </c>
      <c r="B12" s="12">
        <v>426530</v>
      </c>
    </row>
    <row r="17" spans="1:5" x14ac:dyDescent="0.3">
      <c r="A17" s="10" t="s">
        <v>70</v>
      </c>
      <c r="B17" t="s">
        <v>71</v>
      </c>
    </row>
    <row r="18" spans="1:5" x14ac:dyDescent="0.3">
      <c r="A18" s="11" t="s">
        <v>66</v>
      </c>
      <c r="B18" s="12">
        <v>2</v>
      </c>
    </row>
    <row r="19" spans="1:5" x14ac:dyDescent="0.3">
      <c r="A19" s="11" t="s">
        <v>67</v>
      </c>
      <c r="B19" s="12">
        <v>5</v>
      </c>
      <c r="D19" s="10" t="s">
        <v>69</v>
      </c>
      <c r="E19" t="s">
        <v>71</v>
      </c>
    </row>
    <row r="20" spans="1:5" x14ac:dyDescent="0.3">
      <c r="A20" s="11" t="s">
        <v>61</v>
      </c>
      <c r="B20" s="12">
        <v>7</v>
      </c>
      <c r="D20" s="11" t="s">
        <v>50</v>
      </c>
      <c r="E20" s="12">
        <v>7</v>
      </c>
    </row>
    <row r="21" spans="1:5" x14ac:dyDescent="0.3">
      <c r="A21" s="11" t="s">
        <v>65</v>
      </c>
      <c r="B21" s="12">
        <v>2</v>
      </c>
      <c r="D21" s="11" t="s">
        <v>53</v>
      </c>
      <c r="E21" s="12">
        <v>7</v>
      </c>
    </row>
    <row r="22" spans="1:5" x14ac:dyDescent="0.3">
      <c r="A22" s="11" t="s">
        <v>52</v>
      </c>
      <c r="B22" s="12">
        <v>5</v>
      </c>
      <c r="D22" s="11" t="s">
        <v>56</v>
      </c>
      <c r="E22" s="12">
        <v>7</v>
      </c>
    </row>
    <row r="23" spans="1:5" x14ac:dyDescent="0.3">
      <c r="A23" s="11" t="s">
        <v>57</v>
      </c>
      <c r="B23" s="12">
        <v>8</v>
      </c>
      <c r="D23" s="11" t="s">
        <v>58</v>
      </c>
      <c r="E23" s="12">
        <v>7</v>
      </c>
    </row>
    <row r="24" spans="1:5" x14ac:dyDescent="0.3">
      <c r="A24" s="11" t="s">
        <v>55</v>
      </c>
      <c r="B24" s="12">
        <v>3</v>
      </c>
      <c r="D24" s="11" t="s">
        <v>60</v>
      </c>
      <c r="E24" s="12">
        <v>6</v>
      </c>
    </row>
    <row r="25" spans="1:5" x14ac:dyDescent="0.3">
      <c r="A25" s="11" t="s">
        <v>63</v>
      </c>
      <c r="B25" s="12">
        <v>8</v>
      </c>
      <c r="D25" s="11" t="s">
        <v>59</v>
      </c>
      <c r="E25" s="12">
        <v>6</v>
      </c>
    </row>
    <row r="26" spans="1:5" x14ac:dyDescent="0.3">
      <c r="A26" s="11" t="s">
        <v>14</v>
      </c>
      <c r="B26" s="12">
        <v>40</v>
      </c>
      <c r="D26" s="11" t="s">
        <v>14</v>
      </c>
      <c r="E26" s="12">
        <v>40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91A0D-F9CD-4A55-9EED-5EA4530ED298}">
  <sheetPr>
    <tabColor theme="9" tint="-0.249977111117893"/>
  </sheetPr>
  <dimension ref="A1:H41"/>
  <sheetViews>
    <sheetView topLeftCell="A2" workbookViewId="0">
      <selection activeCell="D11" sqref="D11"/>
    </sheetView>
  </sheetViews>
  <sheetFormatPr defaultRowHeight="14.4" x14ac:dyDescent="0.3"/>
  <cols>
    <col min="3" max="3" width="11.109375" customWidth="1"/>
    <col min="8" max="8" width="9.33203125" customWidth="1"/>
  </cols>
  <sheetData>
    <row r="1" spans="1:8" x14ac:dyDescent="0.3">
      <c r="A1" t="s">
        <v>42</v>
      </c>
      <c r="B1" t="s">
        <v>43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</row>
    <row r="2" spans="1:8" x14ac:dyDescent="0.3">
      <c r="A2">
        <v>1</v>
      </c>
      <c r="B2" s="18">
        <v>44927</v>
      </c>
      <c r="C2" t="s">
        <v>50</v>
      </c>
      <c r="D2" t="s">
        <v>51</v>
      </c>
      <c r="E2" t="s">
        <v>52</v>
      </c>
      <c r="F2">
        <v>5</v>
      </c>
      <c r="G2">
        <v>210</v>
      </c>
      <c r="H2" s="19">
        <v>1050</v>
      </c>
    </row>
    <row r="3" spans="1:8" x14ac:dyDescent="0.3">
      <c r="A3">
        <v>2</v>
      </c>
      <c r="B3" s="18">
        <v>44928</v>
      </c>
      <c r="C3" t="s">
        <v>53</v>
      </c>
      <c r="D3" t="s">
        <v>54</v>
      </c>
      <c r="E3" t="s">
        <v>55</v>
      </c>
      <c r="F3">
        <v>3</v>
      </c>
      <c r="G3" s="19">
        <v>1500</v>
      </c>
      <c r="H3" s="19">
        <v>4500</v>
      </c>
    </row>
    <row r="4" spans="1:8" x14ac:dyDescent="0.3">
      <c r="A4">
        <v>3</v>
      </c>
      <c r="B4" s="18">
        <v>44929</v>
      </c>
      <c r="C4" t="s">
        <v>56</v>
      </c>
      <c r="D4" t="s">
        <v>51</v>
      </c>
      <c r="E4" t="s">
        <v>57</v>
      </c>
      <c r="F4">
        <v>7</v>
      </c>
      <c r="G4" s="19">
        <v>2100</v>
      </c>
      <c r="H4" s="19">
        <v>14700</v>
      </c>
    </row>
    <row r="5" spans="1:8" x14ac:dyDescent="0.3">
      <c r="A5">
        <v>4</v>
      </c>
      <c r="B5" s="18">
        <v>44930</v>
      </c>
      <c r="C5" t="s">
        <v>58</v>
      </c>
      <c r="D5" t="s">
        <v>51</v>
      </c>
      <c r="E5" t="s">
        <v>52</v>
      </c>
      <c r="F5">
        <v>2</v>
      </c>
      <c r="G5">
        <v>210</v>
      </c>
      <c r="H5">
        <v>420</v>
      </c>
    </row>
    <row r="6" spans="1:8" x14ac:dyDescent="0.3">
      <c r="A6">
        <v>5</v>
      </c>
      <c r="B6" s="18">
        <v>44931</v>
      </c>
      <c r="C6" t="s">
        <v>59</v>
      </c>
      <c r="D6" t="s">
        <v>54</v>
      </c>
      <c r="E6" t="s">
        <v>55</v>
      </c>
      <c r="F6">
        <v>1</v>
      </c>
      <c r="G6" s="19">
        <v>1500</v>
      </c>
      <c r="H6" s="19">
        <v>1500</v>
      </c>
    </row>
    <row r="7" spans="1:8" x14ac:dyDescent="0.3">
      <c r="A7">
        <v>6</v>
      </c>
      <c r="B7" s="18">
        <v>44932</v>
      </c>
      <c r="C7" t="s">
        <v>60</v>
      </c>
      <c r="D7" t="s">
        <v>54</v>
      </c>
      <c r="E7" t="s">
        <v>61</v>
      </c>
      <c r="F7">
        <v>4</v>
      </c>
      <c r="G7" s="19">
        <v>8500</v>
      </c>
      <c r="H7" s="19">
        <v>34000</v>
      </c>
    </row>
    <row r="8" spans="1:8" x14ac:dyDescent="0.3">
      <c r="A8">
        <v>7</v>
      </c>
      <c r="B8" s="18">
        <v>44933</v>
      </c>
      <c r="C8" t="s">
        <v>50</v>
      </c>
      <c r="D8" t="s">
        <v>62</v>
      </c>
      <c r="E8" t="s">
        <v>63</v>
      </c>
      <c r="F8">
        <v>1</v>
      </c>
      <c r="G8">
        <v>300</v>
      </c>
      <c r="H8">
        <v>300</v>
      </c>
    </row>
    <row r="9" spans="1:8" x14ac:dyDescent="0.3">
      <c r="A9">
        <v>8</v>
      </c>
      <c r="B9" s="18">
        <v>44934</v>
      </c>
      <c r="C9" t="s">
        <v>53</v>
      </c>
      <c r="D9" t="s">
        <v>54</v>
      </c>
      <c r="E9" t="s">
        <v>61</v>
      </c>
      <c r="F9">
        <v>6</v>
      </c>
      <c r="G9" s="19">
        <v>8500</v>
      </c>
      <c r="H9" s="19">
        <v>51000</v>
      </c>
    </row>
    <row r="10" spans="1:8" x14ac:dyDescent="0.3">
      <c r="A10">
        <v>9</v>
      </c>
      <c r="B10" s="18">
        <v>44935</v>
      </c>
      <c r="C10" t="s">
        <v>56</v>
      </c>
      <c r="D10" t="s">
        <v>64</v>
      </c>
      <c r="E10" t="s">
        <v>65</v>
      </c>
      <c r="F10">
        <v>4</v>
      </c>
      <c r="G10" s="19">
        <v>1200</v>
      </c>
      <c r="H10" s="19">
        <v>4800</v>
      </c>
    </row>
    <row r="11" spans="1:8" x14ac:dyDescent="0.3">
      <c r="A11">
        <v>10</v>
      </c>
      <c r="B11" s="18">
        <v>44936</v>
      </c>
      <c r="C11" t="s">
        <v>58</v>
      </c>
      <c r="D11" t="s">
        <v>64</v>
      </c>
      <c r="E11" t="s">
        <v>57</v>
      </c>
      <c r="F11">
        <v>2</v>
      </c>
      <c r="G11" s="19">
        <v>2100</v>
      </c>
      <c r="H11" s="19">
        <v>4200</v>
      </c>
    </row>
    <row r="12" spans="1:8" x14ac:dyDescent="0.3">
      <c r="A12">
        <v>11</v>
      </c>
      <c r="B12" s="18">
        <v>44937</v>
      </c>
      <c r="C12" t="s">
        <v>59</v>
      </c>
      <c r="D12" t="s">
        <v>62</v>
      </c>
      <c r="E12" t="s">
        <v>57</v>
      </c>
      <c r="F12">
        <v>6</v>
      </c>
      <c r="G12" s="19">
        <v>2100</v>
      </c>
      <c r="H12" s="19">
        <v>12600</v>
      </c>
    </row>
    <row r="13" spans="1:8" x14ac:dyDescent="0.3">
      <c r="A13">
        <v>12</v>
      </c>
      <c r="B13" s="18">
        <v>44938</v>
      </c>
      <c r="C13" t="s">
        <v>60</v>
      </c>
      <c r="D13" t="s">
        <v>64</v>
      </c>
      <c r="E13" t="s">
        <v>63</v>
      </c>
      <c r="F13">
        <v>1</v>
      </c>
      <c r="G13">
        <v>300</v>
      </c>
      <c r="H13">
        <v>300</v>
      </c>
    </row>
    <row r="14" spans="1:8" x14ac:dyDescent="0.3">
      <c r="A14">
        <v>13</v>
      </c>
      <c r="B14" s="18">
        <v>44939</v>
      </c>
      <c r="C14" t="s">
        <v>50</v>
      </c>
      <c r="D14" t="s">
        <v>62</v>
      </c>
      <c r="E14" t="s">
        <v>57</v>
      </c>
      <c r="F14">
        <v>7</v>
      </c>
      <c r="G14" s="19">
        <v>2100</v>
      </c>
      <c r="H14" s="19">
        <v>14700</v>
      </c>
    </row>
    <row r="15" spans="1:8" x14ac:dyDescent="0.3">
      <c r="A15">
        <v>14</v>
      </c>
      <c r="B15" s="18">
        <v>44940</v>
      </c>
      <c r="C15" t="s">
        <v>53</v>
      </c>
      <c r="D15" t="s">
        <v>51</v>
      </c>
      <c r="E15" t="s">
        <v>63</v>
      </c>
      <c r="F15">
        <v>6</v>
      </c>
      <c r="G15">
        <v>300</v>
      </c>
      <c r="H15" s="19">
        <v>1800</v>
      </c>
    </row>
    <row r="16" spans="1:8" x14ac:dyDescent="0.3">
      <c r="A16">
        <v>15</v>
      </c>
      <c r="B16" s="18">
        <v>44941</v>
      </c>
      <c r="C16" t="s">
        <v>56</v>
      </c>
      <c r="D16" t="s">
        <v>54</v>
      </c>
      <c r="E16" t="s">
        <v>57</v>
      </c>
      <c r="F16">
        <v>1</v>
      </c>
      <c r="G16" s="19">
        <v>2100</v>
      </c>
      <c r="H16" s="19">
        <v>2100</v>
      </c>
    </row>
    <row r="17" spans="1:8" x14ac:dyDescent="0.3">
      <c r="A17">
        <v>16</v>
      </c>
      <c r="B17" s="18">
        <v>44942</v>
      </c>
      <c r="C17" t="s">
        <v>58</v>
      </c>
      <c r="D17" t="s">
        <v>54</v>
      </c>
      <c r="E17" t="s">
        <v>63</v>
      </c>
      <c r="F17">
        <v>2</v>
      </c>
      <c r="G17">
        <v>300</v>
      </c>
      <c r="H17">
        <v>600</v>
      </c>
    </row>
    <row r="18" spans="1:8" x14ac:dyDescent="0.3">
      <c r="A18">
        <v>17</v>
      </c>
      <c r="B18" s="18">
        <v>44943</v>
      </c>
      <c r="C18" t="s">
        <v>59</v>
      </c>
      <c r="D18" t="s">
        <v>54</v>
      </c>
      <c r="E18" t="s">
        <v>57</v>
      </c>
      <c r="F18">
        <v>7</v>
      </c>
      <c r="G18" s="19">
        <v>2100</v>
      </c>
      <c r="H18" s="19">
        <v>14700</v>
      </c>
    </row>
    <row r="19" spans="1:8" x14ac:dyDescent="0.3">
      <c r="A19">
        <v>18</v>
      </c>
      <c r="B19" s="18">
        <v>44944</v>
      </c>
      <c r="C19" t="s">
        <v>60</v>
      </c>
      <c r="D19" t="s">
        <v>64</v>
      </c>
      <c r="E19" t="s">
        <v>66</v>
      </c>
      <c r="F19">
        <v>6</v>
      </c>
      <c r="G19">
        <v>450</v>
      </c>
      <c r="H19" s="19">
        <v>2700</v>
      </c>
    </row>
    <row r="20" spans="1:8" x14ac:dyDescent="0.3">
      <c r="A20">
        <v>19</v>
      </c>
      <c r="B20" s="18">
        <v>44945</v>
      </c>
      <c r="C20" t="s">
        <v>50</v>
      </c>
      <c r="D20" t="s">
        <v>54</v>
      </c>
      <c r="E20" t="s">
        <v>67</v>
      </c>
      <c r="F20">
        <v>6</v>
      </c>
      <c r="G20">
        <v>190</v>
      </c>
      <c r="H20" s="19">
        <v>1140</v>
      </c>
    </row>
    <row r="21" spans="1:8" x14ac:dyDescent="0.3">
      <c r="A21">
        <v>20</v>
      </c>
      <c r="B21" s="18">
        <v>44946</v>
      </c>
      <c r="C21" t="s">
        <v>53</v>
      </c>
      <c r="D21" t="s">
        <v>54</v>
      </c>
      <c r="E21" t="s">
        <v>63</v>
      </c>
      <c r="F21">
        <v>2</v>
      </c>
      <c r="G21">
        <v>300</v>
      </c>
      <c r="H21">
        <v>600</v>
      </c>
    </row>
    <row r="22" spans="1:8" x14ac:dyDescent="0.3">
      <c r="A22">
        <v>21</v>
      </c>
      <c r="B22" s="18">
        <v>44947</v>
      </c>
      <c r="C22" t="s">
        <v>56</v>
      </c>
      <c r="D22" t="s">
        <v>54</v>
      </c>
      <c r="E22" t="s">
        <v>55</v>
      </c>
      <c r="F22">
        <v>3</v>
      </c>
      <c r="G22" s="19">
        <v>1500</v>
      </c>
      <c r="H22" s="19">
        <v>4500</v>
      </c>
    </row>
    <row r="23" spans="1:8" x14ac:dyDescent="0.3">
      <c r="A23">
        <v>22</v>
      </c>
      <c r="B23" s="18">
        <v>44948</v>
      </c>
      <c r="C23" t="s">
        <v>58</v>
      </c>
      <c r="D23" t="s">
        <v>62</v>
      </c>
      <c r="E23" t="s">
        <v>61</v>
      </c>
      <c r="F23">
        <v>5</v>
      </c>
      <c r="G23" s="19">
        <v>8500</v>
      </c>
      <c r="H23" s="19">
        <v>42500</v>
      </c>
    </row>
    <row r="24" spans="1:8" x14ac:dyDescent="0.3">
      <c r="A24">
        <v>23</v>
      </c>
      <c r="B24" s="18">
        <v>44949</v>
      </c>
      <c r="C24" t="s">
        <v>59</v>
      </c>
      <c r="D24" t="s">
        <v>54</v>
      </c>
      <c r="E24" t="s">
        <v>67</v>
      </c>
      <c r="F24">
        <v>1</v>
      </c>
      <c r="G24">
        <v>190</v>
      </c>
      <c r="H24">
        <v>190</v>
      </c>
    </row>
    <row r="25" spans="1:8" x14ac:dyDescent="0.3">
      <c r="A25">
        <v>24</v>
      </c>
      <c r="B25" s="18">
        <v>44950</v>
      </c>
      <c r="C25" t="s">
        <v>60</v>
      </c>
      <c r="D25" t="s">
        <v>54</v>
      </c>
      <c r="E25" t="s">
        <v>52</v>
      </c>
      <c r="F25">
        <v>6</v>
      </c>
      <c r="G25">
        <v>210</v>
      </c>
      <c r="H25" s="19">
        <v>1260</v>
      </c>
    </row>
    <row r="26" spans="1:8" x14ac:dyDescent="0.3">
      <c r="A26">
        <v>25</v>
      </c>
      <c r="B26" s="18">
        <v>44951</v>
      </c>
      <c r="C26" t="s">
        <v>50</v>
      </c>
      <c r="D26" t="s">
        <v>62</v>
      </c>
      <c r="E26" t="s">
        <v>63</v>
      </c>
      <c r="F26">
        <v>2</v>
      </c>
      <c r="G26">
        <v>300</v>
      </c>
      <c r="H26">
        <v>600</v>
      </c>
    </row>
    <row r="27" spans="1:8" x14ac:dyDescent="0.3">
      <c r="A27">
        <v>26</v>
      </c>
      <c r="B27" s="18">
        <v>44952</v>
      </c>
      <c r="C27" t="s">
        <v>53</v>
      </c>
      <c r="D27" t="s">
        <v>54</v>
      </c>
      <c r="E27" t="s">
        <v>67</v>
      </c>
      <c r="F27">
        <v>4</v>
      </c>
      <c r="G27">
        <v>190</v>
      </c>
      <c r="H27">
        <v>760</v>
      </c>
    </row>
    <row r="28" spans="1:8" x14ac:dyDescent="0.3">
      <c r="A28">
        <v>27</v>
      </c>
      <c r="B28" s="18">
        <v>44953</v>
      </c>
      <c r="C28" t="s">
        <v>56</v>
      </c>
      <c r="D28" t="s">
        <v>62</v>
      </c>
      <c r="E28" t="s">
        <v>61</v>
      </c>
      <c r="F28">
        <v>8</v>
      </c>
      <c r="G28" s="19">
        <v>8500</v>
      </c>
      <c r="H28" s="19">
        <v>68000</v>
      </c>
    </row>
    <row r="29" spans="1:8" x14ac:dyDescent="0.3">
      <c r="A29">
        <v>28</v>
      </c>
      <c r="B29" s="18">
        <v>44954</v>
      </c>
      <c r="C29" t="s">
        <v>58</v>
      </c>
      <c r="D29" t="s">
        <v>54</v>
      </c>
      <c r="E29" t="s">
        <v>63</v>
      </c>
      <c r="F29">
        <v>3</v>
      </c>
      <c r="G29">
        <v>300</v>
      </c>
      <c r="H29">
        <v>900</v>
      </c>
    </row>
    <row r="30" spans="1:8" x14ac:dyDescent="0.3">
      <c r="A30">
        <v>29</v>
      </c>
      <c r="B30" s="18">
        <v>44955</v>
      </c>
      <c r="C30" t="s">
        <v>59</v>
      </c>
      <c r="D30" t="s">
        <v>54</v>
      </c>
      <c r="E30" t="s">
        <v>63</v>
      </c>
      <c r="F30">
        <v>7</v>
      </c>
      <c r="G30">
        <v>300</v>
      </c>
      <c r="H30" s="19">
        <v>2100</v>
      </c>
    </row>
    <row r="31" spans="1:8" x14ac:dyDescent="0.3">
      <c r="A31">
        <v>30</v>
      </c>
      <c r="B31" s="18">
        <v>44956</v>
      </c>
      <c r="C31" t="s">
        <v>60</v>
      </c>
      <c r="D31" t="s">
        <v>62</v>
      </c>
      <c r="E31" t="s">
        <v>67</v>
      </c>
      <c r="F31">
        <v>4</v>
      </c>
      <c r="G31">
        <v>190</v>
      </c>
      <c r="H31">
        <v>760</v>
      </c>
    </row>
    <row r="32" spans="1:8" x14ac:dyDescent="0.3">
      <c r="A32">
        <v>31</v>
      </c>
      <c r="B32" s="18">
        <v>44957</v>
      </c>
      <c r="C32" t="s">
        <v>50</v>
      </c>
      <c r="D32" t="s">
        <v>54</v>
      </c>
      <c r="E32" t="s">
        <v>66</v>
      </c>
      <c r="F32">
        <v>2</v>
      </c>
      <c r="G32">
        <v>450</v>
      </c>
      <c r="H32">
        <v>900</v>
      </c>
    </row>
    <row r="33" spans="1:8" x14ac:dyDescent="0.3">
      <c r="A33">
        <v>32</v>
      </c>
      <c r="B33" s="18">
        <v>44958</v>
      </c>
      <c r="C33" t="s">
        <v>53</v>
      </c>
      <c r="D33" t="s">
        <v>51</v>
      </c>
      <c r="E33" t="s">
        <v>57</v>
      </c>
      <c r="F33">
        <v>3</v>
      </c>
      <c r="G33" s="19">
        <v>2100</v>
      </c>
      <c r="H33" s="19">
        <v>6300</v>
      </c>
    </row>
    <row r="34" spans="1:8" x14ac:dyDescent="0.3">
      <c r="A34">
        <v>33</v>
      </c>
      <c r="B34" s="18">
        <v>44959</v>
      </c>
      <c r="C34" t="s">
        <v>56</v>
      </c>
      <c r="D34" t="s">
        <v>54</v>
      </c>
      <c r="E34" t="s">
        <v>61</v>
      </c>
      <c r="F34">
        <v>2</v>
      </c>
      <c r="G34" s="19">
        <v>8500</v>
      </c>
      <c r="H34" s="19">
        <v>17000</v>
      </c>
    </row>
    <row r="35" spans="1:8" x14ac:dyDescent="0.3">
      <c r="A35">
        <v>34</v>
      </c>
      <c r="B35" s="18">
        <v>44960</v>
      </c>
      <c r="C35" t="s">
        <v>58</v>
      </c>
      <c r="D35" t="s">
        <v>62</v>
      </c>
      <c r="E35" t="s">
        <v>61</v>
      </c>
      <c r="F35">
        <v>8</v>
      </c>
      <c r="G35" s="19">
        <v>8500</v>
      </c>
      <c r="H35" s="19">
        <v>68000</v>
      </c>
    </row>
    <row r="36" spans="1:8" x14ac:dyDescent="0.3">
      <c r="A36">
        <v>35</v>
      </c>
      <c r="B36" s="18">
        <v>44961</v>
      </c>
      <c r="C36" t="s">
        <v>59</v>
      </c>
      <c r="D36" t="s">
        <v>64</v>
      </c>
      <c r="E36" t="s">
        <v>52</v>
      </c>
      <c r="F36">
        <v>2</v>
      </c>
      <c r="G36">
        <v>210</v>
      </c>
      <c r="H36">
        <v>420</v>
      </c>
    </row>
    <row r="37" spans="1:8" x14ac:dyDescent="0.3">
      <c r="A37">
        <v>36</v>
      </c>
      <c r="B37" s="18">
        <v>44962</v>
      </c>
      <c r="C37" t="s">
        <v>60</v>
      </c>
      <c r="D37" t="s">
        <v>64</v>
      </c>
      <c r="E37" t="s">
        <v>67</v>
      </c>
      <c r="F37">
        <v>2</v>
      </c>
      <c r="G37">
        <v>190</v>
      </c>
      <c r="H37">
        <v>380</v>
      </c>
    </row>
    <row r="38" spans="1:8" x14ac:dyDescent="0.3">
      <c r="A38">
        <v>37</v>
      </c>
      <c r="B38" s="18">
        <v>44963</v>
      </c>
      <c r="C38" t="s">
        <v>50</v>
      </c>
      <c r="D38" t="s">
        <v>64</v>
      </c>
      <c r="E38" t="s">
        <v>61</v>
      </c>
      <c r="F38">
        <v>3</v>
      </c>
      <c r="G38" s="19">
        <v>8500</v>
      </c>
      <c r="H38" s="19">
        <v>25500</v>
      </c>
    </row>
    <row r="39" spans="1:8" x14ac:dyDescent="0.3">
      <c r="A39">
        <v>38</v>
      </c>
      <c r="B39" s="18">
        <v>44964</v>
      </c>
      <c r="C39" t="s">
        <v>53</v>
      </c>
      <c r="D39" t="s">
        <v>62</v>
      </c>
      <c r="E39" t="s">
        <v>52</v>
      </c>
      <c r="F39">
        <v>5</v>
      </c>
      <c r="G39">
        <v>210</v>
      </c>
      <c r="H39" s="19">
        <v>1050</v>
      </c>
    </row>
    <row r="40" spans="1:8" x14ac:dyDescent="0.3">
      <c r="A40">
        <v>39</v>
      </c>
      <c r="B40" s="18">
        <v>44965</v>
      </c>
      <c r="C40" t="s">
        <v>56</v>
      </c>
      <c r="D40" t="s">
        <v>54</v>
      </c>
      <c r="E40" t="s">
        <v>57</v>
      </c>
      <c r="F40">
        <v>5</v>
      </c>
      <c r="G40" s="19">
        <v>2100</v>
      </c>
      <c r="H40" s="19">
        <v>10500</v>
      </c>
    </row>
    <row r="41" spans="1:8" x14ac:dyDescent="0.3">
      <c r="A41">
        <v>40</v>
      </c>
      <c r="B41" s="18">
        <v>44966</v>
      </c>
      <c r="C41" t="s">
        <v>58</v>
      </c>
      <c r="D41" t="s">
        <v>54</v>
      </c>
      <c r="E41" t="s">
        <v>65</v>
      </c>
      <c r="F41">
        <v>6</v>
      </c>
      <c r="G41" s="19">
        <v>1200</v>
      </c>
      <c r="H41" s="19">
        <v>7200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38E109C5-2E84-4F87-B114-B2909FDD7E92}">
  <ds:schemaRefs/>
</ds:datastoreItem>
</file>

<file path=customXml/itemProps2.xml><?xml version="1.0" encoding="utf-8"?>
<ds:datastoreItem xmlns:ds="http://schemas.openxmlformats.org/officeDocument/2006/customXml" ds:itemID="{D1CDC618-B7E4-42ED-9136-887556D3E8F6}">
  <ds:schemaRefs/>
</ds:datastoreItem>
</file>

<file path=customXml/itemProps3.xml><?xml version="1.0" encoding="utf-8"?>
<ds:datastoreItem xmlns:ds="http://schemas.openxmlformats.org/officeDocument/2006/customXml" ds:itemID="{AD81E317-133D-4269-AD8E-F0B60817F787}">
  <ds:schemaRefs/>
</ds:datastoreItem>
</file>

<file path=customXml/itemProps4.xml><?xml version="1.0" encoding="utf-8"?>
<ds:datastoreItem xmlns:ds="http://schemas.openxmlformats.org/officeDocument/2006/customXml" ds:itemID="{009A43EF-AB09-4DF7-BCBD-BD0B054FA1A7}">
  <ds:schemaRefs/>
</ds:datastoreItem>
</file>

<file path=customXml/itemProps5.xml><?xml version="1.0" encoding="utf-8"?>
<ds:datastoreItem xmlns:ds="http://schemas.openxmlformats.org/officeDocument/2006/customXml" ds:itemID="{F983B97C-63D1-4E74-B3D4-7D94D857A850}">
  <ds:schemaRefs/>
</ds:datastoreItem>
</file>

<file path=customXml/itemProps6.xml><?xml version="1.0" encoding="utf-8"?>
<ds:datastoreItem xmlns:ds="http://schemas.openxmlformats.org/officeDocument/2006/customXml" ds:itemID="{A9D16D73-DF80-4591-8AB4-5AF50CD0432F}">
  <ds:schemaRefs/>
</ds:datastoreItem>
</file>

<file path=customXml/itemProps7.xml><?xml version="1.0" encoding="utf-8"?>
<ds:datastoreItem xmlns:ds="http://schemas.openxmlformats.org/officeDocument/2006/customXml" ds:itemID="{B51FFAB7-8A72-460A-905A-E4369F52DD03}">
  <ds:schemaRefs/>
</ds:datastoreItem>
</file>

<file path=customXml/itemProps8.xml><?xml version="1.0" encoding="utf-8"?>
<ds:datastoreItem xmlns:ds="http://schemas.openxmlformats.org/officeDocument/2006/customXml" ds:itemID="{7EBAD9F7-20F9-4DD8-B5A1-D8BE043A97CF}">
  <ds:schemaRefs/>
</ds:datastoreItem>
</file>

<file path=customXml/itemProps9.xml><?xml version="1.0" encoding="utf-8"?>
<ds:datastoreItem xmlns:ds="http://schemas.openxmlformats.org/officeDocument/2006/customXml" ds:itemID="{2602C3D6-1CC3-4E3C-9976-E98BBA07608A}">
  <ds:schemaRefs/>
</ds:datastoreItem>
</file>

<file path=customXml/itemProps10.xml><?xml version="1.0" encoding="utf-8"?>
<ds:datastoreItem xmlns:ds="http://schemas.openxmlformats.org/officeDocument/2006/customXml" ds:itemID="{0C683F7F-38FA-452A-B137-2BE4C456C086}">
  <ds:schemaRefs/>
</ds:datastoreItem>
</file>

<file path=customXml/itemProps11.xml><?xml version="1.0" encoding="utf-8"?>
<ds:datastoreItem xmlns:ds="http://schemas.openxmlformats.org/officeDocument/2006/customXml" ds:itemID="{D64D6004-3341-4A3E-9E9C-36B8575C55A5}">
  <ds:schemaRefs>
    <ds:schemaRef ds:uri="http://www.w3.org/2001/XMLSchema"/>
    <ds:schemaRef ds:uri="http://microsoft.data.visualization.Client.Excel/1.0"/>
  </ds:schemaRefs>
</ds:datastoreItem>
</file>

<file path=customXml/itemProps12.xml><?xml version="1.0" encoding="utf-8"?>
<ds:datastoreItem xmlns:ds="http://schemas.openxmlformats.org/officeDocument/2006/customXml" ds:itemID="{B395E832-2FB1-4FCC-8347-BC626FE079C4}">
  <ds:schemaRefs/>
</ds:datastoreItem>
</file>

<file path=customXml/itemProps13.xml><?xml version="1.0" encoding="utf-8"?>
<ds:datastoreItem xmlns:ds="http://schemas.openxmlformats.org/officeDocument/2006/customXml" ds:itemID="{EA216088-64F2-4B38-88C8-2BB51C84CDE2}">
  <ds:schemaRefs/>
</ds:datastoreItem>
</file>

<file path=customXml/itemProps14.xml><?xml version="1.0" encoding="utf-8"?>
<ds:datastoreItem xmlns:ds="http://schemas.openxmlformats.org/officeDocument/2006/customXml" ds:itemID="{128FA301-7D1C-4CE5-9BAC-0667069BBF2E}">
  <ds:schemaRefs>
    <ds:schemaRef ds:uri="http://www.w3.org/2001/XMLSchema"/>
    <ds:schemaRef ds:uri="http://microsoft.data.visualization.engine.tours/1.0"/>
  </ds:schemaRefs>
</ds:datastoreItem>
</file>

<file path=customXml/itemProps15.xml><?xml version="1.0" encoding="utf-8"?>
<ds:datastoreItem xmlns:ds="http://schemas.openxmlformats.org/officeDocument/2006/customXml" ds:itemID="{0092E684-A59A-4104-A123-0A01CF8CC963}">
  <ds:schemaRefs/>
</ds:datastoreItem>
</file>

<file path=customXml/itemProps16.xml><?xml version="1.0" encoding="utf-8"?>
<ds:datastoreItem xmlns:ds="http://schemas.openxmlformats.org/officeDocument/2006/customXml" ds:itemID="{E3BFA8F2-3794-431F-9EB3-21512B27BFD5}">
  <ds:schemaRefs/>
</ds:datastoreItem>
</file>

<file path=customXml/itemProps17.xml><?xml version="1.0" encoding="utf-8"?>
<ds:datastoreItem xmlns:ds="http://schemas.openxmlformats.org/officeDocument/2006/customXml" ds:itemID="{8D614C0A-C1D5-4131-B799-8087D62F9D8C}">
  <ds:schemaRefs/>
</ds:datastoreItem>
</file>

<file path=customXml/itemProps18.xml><?xml version="1.0" encoding="utf-8"?>
<ds:datastoreItem xmlns:ds="http://schemas.openxmlformats.org/officeDocument/2006/customXml" ds:itemID="{9AFCE036-CB70-4BEA-9D4F-DEFD2F183AF4}">
  <ds:schemaRefs/>
</ds:datastoreItem>
</file>

<file path=customXml/itemProps19.xml><?xml version="1.0" encoding="utf-8"?>
<ds:datastoreItem xmlns:ds="http://schemas.openxmlformats.org/officeDocument/2006/customXml" ds:itemID="{62B2A0ED-C6CC-4EFC-AA6E-CE4344ECBA17}">
  <ds:schemaRefs/>
</ds:datastoreItem>
</file>

<file path=customXml/itemProps20.xml><?xml version="1.0" encoding="utf-8"?>
<ds:datastoreItem xmlns:ds="http://schemas.openxmlformats.org/officeDocument/2006/customXml" ds:itemID="{AEAAFECA-2DE4-4B02-AD25-A0FB5A56E772}">
  <ds:schemaRefs/>
</ds:datastoreItem>
</file>

<file path=customXml/itemProps21.xml><?xml version="1.0" encoding="utf-8"?>
<ds:datastoreItem xmlns:ds="http://schemas.openxmlformats.org/officeDocument/2006/customXml" ds:itemID="{BC246F50-D6F7-44C6-B8B9-1DFA91E983AB}">
  <ds:schemaRefs/>
</ds:datastoreItem>
</file>

<file path=customXml/itemProps22.xml><?xml version="1.0" encoding="utf-8"?>
<ds:datastoreItem xmlns:ds="http://schemas.openxmlformats.org/officeDocument/2006/customXml" ds:itemID="{1726B34E-27E4-44AF-B32B-538A89F891D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pivot table</vt:lpstr>
      <vt:lpstr>trades</vt:lpstr>
      <vt:lpstr>traders</vt:lpstr>
      <vt:lpstr>client </vt:lpstr>
      <vt:lpstr>productname</vt:lpstr>
      <vt:lpstr>invoice</vt:lpstr>
      <vt:lpstr>dashboard</vt:lpstr>
      <vt:lpstr>pivot table sales</vt:lpstr>
      <vt:lpstr>data raw 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2026-10-03T21:23:01Z</dcterms:created>
  <dcterms:modified xsi:type="dcterms:W3CDTF">2026-10-06T20:55:03Z</dcterms:modified>
</cp:coreProperties>
</file>