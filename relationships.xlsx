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80F8C508-1B3B-4D00-AC33-A7C83FF62F9D}"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dashboard" sheetId="9" r:id="rId8"/>
    <sheet name="pivot table sales" sheetId="8" r:id="rId9"/>
    <sheet name="data raw sales" sheetId="7" r:id="rId10"/>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1"/>
    <pivotCache cacheId="1"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L58" i="8"/>
  <c r="E58" i="8"/>
  <c r="B58" i="8"/>
  <c r="O58" i="8"/>
  <c r="I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<sst xmlns="http://schemas.openxmlformats.org/spreadsheetml/2006/main" count="287" uniqueCount="86">
  <si>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</si>
  <si>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</si>
  <si>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</si>
  <si>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</si>
  <si>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</si>
  <si>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</si>
  <si>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</si>
  <si>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</si>
  <si>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</si>
  <si>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</si>
  <si>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</si>
  <si>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</si>
  <si>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</si>
  <si>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</si>
  <si>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</si>
  <si>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</si>
  <si>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</si>
  <si>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</si>
  <si>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</si>
  <si>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</si>
  <si>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</si>
  <si>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</si>
  <si>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</si>
  <si>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</si>
  <si>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</si>
  <si>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</si>
  <si>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</si>
  <si>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</si>
  <si>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</si>
  <si>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</si>
  <si>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</si>
  <si>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</si>
  <si>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</si>
  <si>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</si>
  <si>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</si>
  <si>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</si>
  <si>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</si>
  <si>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</si>
  <si>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</si>
  <si>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</si>
  <si>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</si>
  <si>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</si>
  <si>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</si>
  <si>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</si>
  <si>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</si>
  <si>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</si>
  <si>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</si>
  <si>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</si>
  <si>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</si>
  <si>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</si>
  <si>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</si>
  <si>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</si>
  <si>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</si>
  <si>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</si>
  <si>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</si>
  <si>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</si>
  <si>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</si>
  <si>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</si>
  <si>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</si>
  <si>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</si>
  <si>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</si>
  <si>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</si>
  <si>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</si>
  <si>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</si>
  <si>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</si>
  <si>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</si>
  <si>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</si>
  <si>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</si>
  <si>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</si>
  <si>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</si>
  <si>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</si>
  <si>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</si>
  <si>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</si>
  <si>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</si>
  <si>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</si>
  <si>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</si>
  <si>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</si>
  <si>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</si>
  <si>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</si>
  <si>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</si>
  <si>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</si>
  <si>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</si>
  <si>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</si>
  <si>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</si>
  <si>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Mar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</si>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</sst>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worksheet" Target="worksheets/sheet10.xml"/><Relationship Id="rId19" Type="http://schemas.openxmlformats.org/officeDocument/2006/relationships/powerPivotData" Target="model/item.data"/><Relationship Id="rId31"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styles" Target="style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sales'!$D$5:$D$12</c:f>
              <c:strCache>
                <c:ptCount val="7"/>
                <c:pt idx="0">
                  <c:v>Ahmed Said</c:v>
                </c:pt>
                <c:pt idx="1">
                  <c:v>Ali Ramadan</c:v>
                </c:pt>
                <c:pt idx="2">
                  <c:v>Ashraf Zaki</c:v>
                </c:pt>
                <c:pt idx="3">
                  <c:v>Fathy Ali</c:v>
                </c:pt>
                <c:pt idx="4">
                  <c:v>Khaled Hassan</c:v>
                </c:pt>
                <c:pt idx="5">
                  <c:v>Tamer Mohamed</c:v>
                </c:pt>
                <c:pt idx="6">
                  <c:v>hamid taha</c:v>
                </c:pt>
              </c:strCache>
            </c:strRef>
          </c:cat>
          <c:val>
            <c:numRef>
              <c:f>'pivot table sales'!$E$5:$E$12</c:f>
              <c:numCache>
                <c:formatCode>General</c:formatCode>
                <c:ptCount val="7"/>
                <c:pt idx="0">
                  <c:v>44190</c:v>
                </c:pt>
                <c:pt idx="1">
                  <c:v>66010</c:v>
                </c:pt>
                <c:pt idx="2">
                  <c:v>121600</c:v>
                </c:pt>
                <c:pt idx="3">
                  <c:v>123820</c:v>
                </c:pt>
                <c:pt idx="4">
                  <c:v>39400</c:v>
                </c:pt>
                <c:pt idx="5">
                  <c:v>31510</c:v>
                </c:pt>
                <c:pt idx="6">
                  <c:v>168</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Fathy Ali</c:v>
                </c:pt>
                <c:pt idx="1">
                  <c:v>Ashraf Zaki</c:v>
                </c:pt>
                <c:pt idx="2">
                  <c:v>Ali Ramadan</c:v>
                </c:pt>
              </c:strCache>
            </c:strRef>
          </c:cat>
          <c:val>
            <c:numRef>
              <c:f>'pivot table sales'!$E$36:$E$39</c:f>
              <c:numCache>
                <c:formatCode>General</c:formatCode>
                <c:ptCount val="3"/>
                <c:pt idx="0">
                  <c:v>123820</c:v>
                </c:pt>
                <c:pt idx="1">
                  <c:v>121600</c:v>
                </c:pt>
                <c:pt idx="2">
                  <c:v>66010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sales'!$H$5:$H$8</c:f>
              <c:strCache>
                <c:ptCount val="3"/>
                <c:pt idx="0">
                  <c:v>Jan</c:v>
                </c:pt>
                <c:pt idx="1">
                  <c:v>Feb</c:v>
                </c:pt>
                <c:pt idx="2">
                  <c:v>Mar</c:v>
                </c:pt>
              </c:strCache>
            </c:strRef>
          </c:cat>
          <c:val>
            <c:numRef>
              <c:f>'pivot table sales'!$I$5:$I$8</c:f>
              <c:numCache>
                <c:formatCode>General</c:formatCode>
                <c:ptCount val="3"/>
                <c:pt idx="0">
                  <c:v>290180</c:v>
                </c:pt>
                <c:pt idx="1">
                  <c:v>136350</c:v>
                </c:pt>
                <c:pt idx="2">
                  <c:v>168</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Fathy Ali</c:v>
                </c:pt>
                <c:pt idx="1">
                  <c:v>Ashraf Zaki</c:v>
                </c:pt>
                <c:pt idx="2">
                  <c:v>Ali Ramadan</c:v>
                </c:pt>
              </c:strCache>
            </c:strRef>
          </c:cat>
          <c:val>
            <c:numRef>
              <c:f>'pivot table sales'!$E$36:$E$39</c:f>
              <c:numCache>
                <c:formatCode>General</c:formatCode>
                <c:ptCount val="3"/>
                <c:pt idx="0">
                  <c:v>123820</c:v>
                </c:pt>
                <c:pt idx="1">
                  <c:v>121600</c:v>
                </c:pt>
                <c:pt idx="2">
                  <c:v>66010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salesman!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salesman!A1"/></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mc:Choice xmlns:tsle="http://schemas.microsoft.com/office/drawing/2012/timeslicer"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xmlns:tsle="http://schemas.microsoft.com/office/drawing/2012/timeslicer" name="Date 2"/>
            </a:graphicData>
          </a:graphic>
        </xdr:graphicFrame>
      </mc:Choice>
      <mc:Fallback>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mc:Choice xmlns:a14="http://schemas.microsoft.com/office/drawing/2010/main"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12000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10407.26829</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41</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2"/>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426698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10407.26829</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41</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4"/>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937260</xdr:colOff>
      <xdr:row>23</xdr:row>
      <xdr:rowOff>7620</xdr:rowOff>
    </xdr:from>
    <xdr:to>
      <xdr:col>8</xdr:col>
      <xdr:colOff>60960</xdr:colOff>
      <xdr:row>38</xdr:row>
      <xdr:rowOff>7620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3"/>
    </i>
    <i>
      <x v="4"/>
    </i>
    <i>
      <x v="5"/>
    </i>
    <i t="grand">
      <x/>
    </i>
  </rowItems>
  <colItems count="1">
    <i/>
  </colItems>
  <dataFields count="1">
    <dataField name="Sum of Amount" fld="7" baseField="2"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775"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35:B4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4" baseItem="0"/>
  </dataFields>
  <pivotTableStyleInfo name="PivotStyleLight16" showRowHeaders="1" showColHeaders="1" showRowStripes="0" showColStripes="0" showLastColumn="1"/>
  <filters count="1">
    <filter fld="1" type="dateBetween" evalOrder="-1" id="775"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8"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23"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rowHeaderCaption="products by total amount">
  <location ref="H4:I8"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4">
    <i>
      <x v="1"/>
    </i>
    <i>
      <x v="2"/>
    </i>
    <i>
      <x v="3"/>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8"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8">
    <i>
      <x/>
    </i>
    <i>
      <x v="1"/>
    </i>
    <i>
      <x v="2"/>
    </i>
    <i>
      <x v="3"/>
    </i>
    <i>
      <x v="4"/>
    </i>
    <i>
      <x v="5"/>
    </i>
    <i>
      <x v="6"/>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12"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8">
    <i>
      <x/>
    </i>
    <i>
      <x v="1"/>
    </i>
    <i>
      <x v="2"/>
    </i>
    <i>
      <x v="3"/>
    </i>
    <i>
      <x v="4"/>
    </i>
    <i>
      <x v="5"/>
    </i>
    <i>
      <x v="6"/>
    </i>
    <i t="grand">
      <x/>
    </i>
  </rowItems>
  <colItems count="1">
    <i/>
  </colItems>
  <dataFields count="1">
    <dataField name="Sum of Amount"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774" name="Date">
      <autoFilter ref="A1">
        <filterColumn colId="0">
          <customFilters and="1">
            <customFilter operator="greaterThanOrEqual" val="44927"/>
            <customFilter operator="lessThanOrEqual" val="4504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data>
    <tabular pivotCacheId="2123660732">
      <items count="9">
        <i x="8" s="1"/>
        <i x="6" s="1"/>
        <i x="7" s="1"/>
        <i x="3" s="1"/>
        <i x="5" s="1"/>
        <i x="0"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4-30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2"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2"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tabSelected="1" topLeftCell="A12"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topLeftCell="A7"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5" workbookViewId="0">
      <selection activeCell="D37" sqref="D37"/>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44190</v>
      </c>
      <c r="H5" s="11" t="s">
        <v>79</v>
      </c>
      <c r="I5" s="12">
        <v>290180</v>
      </c>
    </row>
    <row r="6" spans="1:9" x14ac:dyDescent="0.3">
      <c r="A6" s="11" t="s">
        <v>67</v>
      </c>
      <c r="B6" s="12">
        <v>3230</v>
      </c>
      <c r="D6" s="11" t="s">
        <v>53</v>
      </c>
      <c r="E6" s="12">
        <v>66010</v>
      </c>
      <c r="H6" s="11" t="s">
        <v>80</v>
      </c>
      <c r="I6" s="12">
        <v>136350</v>
      </c>
    </row>
    <row r="7" spans="1:9" x14ac:dyDescent="0.3">
      <c r="A7" s="11" t="s">
        <v>61</v>
      </c>
      <c r="B7" s="12">
        <v>306000</v>
      </c>
      <c r="D7" s="11" t="s">
        <v>56</v>
      </c>
      <c r="E7" s="12">
        <v>121600</v>
      </c>
      <c r="H7" s="11" t="s">
        <v>84</v>
      </c>
      <c r="I7" s="12">
        <v>168</v>
      </c>
    </row>
    <row r="8" spans="1:9" x14ac:dyDescent="0.3">
      <c r="A8" s="11" t="s">
        <v>65</v>
      </c>
      <c r="B8" s="12">
        <v>12000</v>
      </c>
      <c r="D8" s="11" t="s">
        <v>58</v>
      </c>
      <c r="E8" s="12">
        <v>123820</v>
      </c>
      <c r="H8" s="11" t="s">
        <v>14</v>
      </c>
      <c r="I8" s="12">
        <v>426698</v>
      </c>
    </row>
    <row r="9" spans="1:9" x14ac:dyDescent="0.3">
      <c r="A9" s="11" t="s">
        <v>52</v>
      </c>
      <c r="B9" s="12">
        <v>4200</v>
      </c>
      <c r="D9" s="11" t="s">
        <v>60</v>
      </c>
      <c r="E9" s="12">
        <v>39400</v>
      </c>
    </row>
    <row r="10" spans="1:9" x14ac:dyDescent="0.3">
      <c r="A10" s="11" t="s">
        <v>57</v>
      </c>
      <c r="B10" s="12">
        <v>79800</v>
      </c>
      <c r="D10" s="11" t="s">
        <v>59</v>
      </c>
      <c r="E10" s="12">
        <v>31510</v>
      </c>
    </row>
    <row r="11" spans="1:9" x14ac:dyDescent="0.3">
      <c r="A11" s="11" t="s">
        <v>55</v>
      </c>
      <c r="B11" s="12">
        <v>10500</v>
      </c>
      <c r="D11" s="11" t="s">
        <v>81</v>
      </c>
      <c r="E11" s="12">
        <v>168</v>
      </c>
    </row>
    <row r="12" spans="1:9" x14ac:dyDescent="0.3">
      <c r="A12" s="11" t="s">
        <v>63</v>
      </c>
      <c r="B12" s="12">
        <v>7200</v>
      </c>
      <c r="D12" s="11" t="s">
        <v>14</v>
      </c>
      <c r="E12" s="12">
        <v>426698</v>
      </c>
    </row>
    <row r="13" spans="1:9" x14ac:dyDescent="0.3">
      <c r="A13" s="11" t="s">
        <v>83</v>
      </c>
      <c r="B13" s="12">
        <v>168</v>
      </c>
      <c r="H13" s="10" t="s">
        <v>70</v>
      </c>
      <c r="I13" t="s">
        <v>85</v>
      </c>
    </row>
    <row r="14" spans="1:9" x14ac:dyDescent="0.3">
      <c r="A14" s="11" t="s">
        <v>14</v>
      </c>
      <c r="B14" s="12">
        <v>426698</v>
      </c>
      <c r="H14" s="11" t="s">
        <v>66</v>
      </c>
      <c r="I14" s="12">
        <v>450</v>
      </c>
    </row>
    <row r="15" spans="1:9" x14ac:dyDescent="0.3">
      <c r="H15" s="11" t="s">
        <v>67</v>
      </c>
      <c r="I15" s="12">
        <v>190</v>
      </c>
    </row>
    <row r="16" spans="1:9" x14ac:dyDescent="0.3">
      <c r="H16" s="11" t="s">
        <v>61</v>
      </c>
      <c r="I16" s="12">
        <v>8500</v>
      </c>
    </row>
    <row r="17" spans="1:9" x14ac:dyDescent="0.3">
      <c r="H17" s="11" t="s">
        <v>65</v>
      </c>
      <c r="I17" s="12">
        <v>1200</v>
      </c>
    </row>
    <row r="18" spans="1:9" x14ac:dyDescent="0.3">
      <c r="A18" s="10" t="s">
        <v>70</v>
      </c>
      <c r="B18" t="s">
        <v>71</v>
      </c>
      <c r="H18" s="11" t="s">
        <v>52</v>
      </c>
      <c r="I18" s="12">
        <v>210</v>
      </c>
    </row>
    <row r="19" spans="1:9" x14ac:dyDescent="0.3">
      <c r="A19" s="11" t="s">
        <v>66</v>
      </c>
      <c r="B19" s="12">
        <v>2</v>
      </c>
      <c r="H19" s="11" t="s">
        <v>57</v>
      </c>
      <c r="I19" s="12">
        <v>2100</v>
      </c>
    </row>
    <row r="20" spans="1:9" x14ac:dyDescent="0.3">
      <c r="A20" s="11" t="s">
        <v>67</v>
      </c>
      <c r="B20" s="12">
        <v>5</v>
      </c>
      <c r="D20" s="10" t="s">
        <v>69</v>
      </c>
      <c r="E20" t="s">
        <v>71</v>
      </c>
      <c r="H20" s="11" t="s">
        <v>55</v>
      </c>
      <c r="I20" s="12">
        <v>1500</v>
      </c>
    </row>
    <row r="21" spans="1:9" x14ac:dyDescent="0.3">
      <c r="A21" s="11" t="s">
        <v>61</v>
      </c>
      <c r="B21" s="12">
        <v>7</v>
      </c>
      <c r="D21" s="11" t="s">
        <v>50</v>
      </c>
      <c r="E21" s="12">
        <v>7</v>
      </c>
      <c r="H21" s="11" t="s">
        <v>63</v>
      </c>
      <c r="I21" s="12">
        <v>300</v>
      </c>
    </row>
    <row r="22" spans="1:9" x14ac:dyDescent="0.3">
      <c r="A22" s="11" t="s">
        <v>65</v>
      </c>
      <c r="B22" s="12">
        <v>2</v>
      </c>
      <c r="D22" s="11" t="s">
        <v>53</v>
      </c>
      <c r="E22" s="12">
        <v>7</v>
      </c>
      <c r="H22" s="11" t="s">
        <v>83</v>
      </c>
      <c r="I22" s="12">
        <v>56</v>
      </c>
    </row>
    <row r="23" spans="1:9" x14ac:dyDescent="0.3">
      <c r="A23" s="11" t="s">
        <v>52</v>
      </c>
      <c r="B23" s="12">
        <v>5</v>
      </c>
      <c r="D23" s="11" t="s">
        <v>56</v>
      </c>
      <c r="E23" s="12">
        <v>7</v>
      </c>
      <c r="H23" s="11" t="s">
        <v>14</v>
      </c>
      <c r="I23" s="12">
        <v>2159.9024390243903</v>
      </c>
    </row>
    <row r="24" spans="1:9" x14ac:dyDescent="0.3">
      <c r="A24" s="11" t="s">
        <v>57</v>
      </c>
      <c r="B24" s="12">
        <v>8</v>
      </c>
      <c r="D24" s="11" t="s">
        <v>58</v>
      </c>
      <c r="E24" s="12">
        <v>7</v>
      </c>
    </row>
    <row r="25" spans="1:9" x14ac:dyDescent="0.3">
      <c r="A25" s="11" t="s">
        <v>55</v>
      </c>
      <c r="B25" s="12">
        <v>3</v>
      </c>
      <c r="D25" s="11" t="s">
        <v>60</v>
      </c>
      <c r="E25" s="12">
        <v>6</v>
      </c>
    </row>
    <row r="26" spans="1:9" x14ac:dyDescent="0.3">
      <c r="A26" s="11" t="s">
        <v>63</v>
      </c>
      <c r="B26" s="12">
        <v>8</v>
      </c>
      <c r="D26" s="11" t="s">
        <v>59</v>
      </c>
      <c r="E26" s="12">
        <v>6</v>
      </c>
    </row>
    <row r="27" spans="1:9" x14ac:dyDescent="0.3">
      <c r="A27" s="11" t="s">
        <v>83</v>
      </c>
      <c r="B27" s="12">
        <v>1</v>
      </c>
      <c r="D27" s="11" t="s">
        <v>81</v>
      </c>
      <c r="E27" s="12">
        <v>1</v>
      </c>
    </row>
    <row r="28" spans="1:9" x14ac:dyDescent="0.3">
      <c r="A28" s="11" t="s">
        <v>14</v>
      </c>
      <c r="B28" s="12">
        <v>41</v>
      </c>
      <c r="D28" s="11" t="s">
        <v>14</v>
      </c>
      <c r="E28" s="12">
        <v>41</v>
      </c>
    </row>
    <row r="35" spans="1:5" x14ac:dyDescent="0.3">
      <c r="A35" s="10" t="s">
        <v>70</v>
      </c>
      <c r="B35" t="s">
        <v>68</v>
      </c>
      <c r="D35" s="10" t="s">
        <v>69</v>
      </c>
      <c r="E35" t="s">
        <v>68</v>
      </c>
    </row>
    <row r="36" spans="1:5" x14ac:dyDescent="0.3">
      <c r="A36" s="11" t="s">
        <v>66</v>
      </c>
      <c r="B36" s="12">
        <v>3600</v>
      </c>
      <c r="D36" s="11" t="s">
        <v>58</v>
      </c>
      <c r="E36" s="12">
        <v>123820</v>
      </c>
    </row>
    <row r="37" spans="1:5" x14ac:dyDescent="0.3">
      <c r="A37" s="11" t="s">
        <v>67</v>
      </c>
      <c r="B37" s="12">
        <v>3230</v>
      </c>
      <c r="D37" s="11" t="s">
        <v>56</v>
      </c>
      <c r="E37" s="12">
        <v>121600</v>
      </c>
    </row>
    <row r="38" spans="1:5" x14ac:dyDescent="0.3">
      <c r="A38" s="11" t="s">
        <v>61</v>
      </c>
      <c r="B38" s="12">
        <v>306000</v>
      </c>
      <c r="D38" s="11" t="s">
        <v>53</v>
      </c>
      <c r="E38" s="12">
        <v>66010</v>
      </c>
    </row>
    <row r="39" spans="1:5" x14ac:dyDescent="0.3">
      <c r="A39" s="11" t="s">
        <v>65</v>
      </c>
      <c r="B39" s="12">
        <v>12000</v>
      </c>
      <c r="D39" s="11" t="s">
        <v>14</v>
      </c>
      <c r="E39" s="12">
        <v>311430</v>
      </c>
    </row>
    <row r="40" spans="1:5" x14ac:dyDescent="0.3">
      <c r="A40" s="11" t="s">
        <v>52</v>
      </c>
      <c r="B40" s="12">
        <v>4200</v>
      </c>
      <c r="D40" s="11"/>
      <c r="E40" s="12"/>
    </row>
    <row r="41" spans="1:5" x14ac:dyDescent="0.3">
      <c r="A41" s="11" t="s">
        <v>57</v>
      </c>
      <c r="B41" s="12">
        <v>79800</v>
      </c>
      <c r="D41" s="11"/>
      <c r="E41" s="12"/>
    </row>
    <row r="42" spans="1:5" x14ac:dyDescent="0.3">
      <c r="A42" s="11" t="s">
        <v>55</v>
      </c>
      <c r="B42" s="12">
        <v>10500</v>
      </c>
      <c r="D42" s="11"/>
      <c r="E42" s="12"/>
    </row>
    <row r="43" spans="1:5" x14ac:dyDescent="0.3">
      <c r="A43" s="11" t="s">
        <v>63</v>
      </c>
      <c r="B43" s="12">
        <v>7200</v>
      </c>
      <c r="D43" s="11"/>
      <c r="E43" s="12"/>
    </row>
    <row r="44" spans="1:5" x14ac:dyDescent="0.3">
      <c r="A44" s="11" t="s">
        <v>83</v>
      </c>
      <c r="B44" s="12">
        <v>168</v>
      </c>
      <c r="D44" s="11"/>
      <c r="E44" s="12"/>
    </row>
    <row r="45" spans="1:5" x14ac:dyDescent="0.3">
      <c r="A45" s="11" t="s">
        <v>14</v>
      </c>
      <c r="B45" s="12">
        <v>426698</v>
      </c>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426698</v>
      </c>
      <c r="B58" s="20">
        <f>GETPIVOTDATA("Amount",$A$57)</f>
        <v>426698</v>
      </c>
      <c r="D58" s="12">
        <v>41</v>
      </c>
      <c r="E58" s="20">
        <f>GETPIVOTDATA("Amount",$D$57)</f>
        <v>41</v>
      </c>
      <c r="H58" s="12">
        <v>10407.268292682927</v>
      </c>
      <c r="I58" s="20">
        <f>GETPIVOTDATA("Amount",$H$57)</f>
        <v>10407.268292682927</v>
      </c>
      <c r="K58" s="12">
        <v>68000</v>
      </c>
      <c r="L58" s="20">
        <f>GETPIVOTDATA("Amount",$K$57)</f>
        <v>68000</v>
      </c>
      <c r="N58" s="12">
        <v>168</v>
      </c>
      <c r="O58" s="20">
        <f>GETPIVOTDATA("Amount",$N$57)</f>
        <v>168</v>
      </c>
    </row>
  </sheetData>
  <mergeCells count="2">
    <mergeCell ref="A53:O54"/>
    <mergeCell ref="A1:E2"/>
  </mergeCells>
  <pageMargins left="0.7" right="0.7" top="0.75" bottom="0.75" header="0.3" footer="0.3"/>
  <drawing r:id="rId1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EAAFECA-2DE4-4B02-AD25-A0FB5A56E772}">
  <ds:schemaRefs/>
</ds:datastoreItem>
</file>

<file path=customXml/itemProps2.xml><?xml version="1.0" encoding="utf-8"?>
<ds:datastoreItem xmlns:ds="http://schemas.openxmlformats.org/officeDocument/2006/customXml" ds:itemID="{009A43EF-AB09-4DF7-BCBD-BD0B054FA1A7}">
  <ds:schemaRefs/>
</ds:datastoreItem>
</file>

<file path=customXml/itemProps3.xml><?xml version="1.0" encoding="utf-8"?>
<ds:datastoreItem xmlns:ds="http://schemas.openxmlformats.org/officeDocument/2006/customXml" ds:itemID="{BC246F50-D6F7-44C6-B8B9-1DFA91E983AB}">
  <ds:schemaRefs/>
</ds:datastoreItem>
</file>

<file path=customXml/itemProps4.xml><?xml version="1.0" encoding="utf-8"?>
<ds:datastoreItem xmlns:ds="http://schemas.openxmlformats.org/officeDocument/2006/customXml" ds:itemID="{EA216088-64F2-4B38-88C8-2BB51C84CDE2}">
  <ds:schemaRefs/>
</ds:datastoreItem>
</file>

<file path=customXml/itemProps5.xml><?xml version="1.0" encoding="utf-8"?>
<ds:datastoreItem xmlns:ds="http://schemas.openxmlformats.org/officeDocument/2006/customXml" ds:itemID="{E3BFA8F2-3794-431F-9EB3-21512B27BFD5}">
  <ds:schemaRefs/>
</ds:datastoreItem>
</file>

<file path=customXml/itemProps6.xml><?xml version="1.0" encoding="utf-8"?>
<ds:datastoreItem xmlns:ds="http://schemas.openxmlformats.org/officeDocument/2006/customXml" ds:itemID="{62B2A0ED-C6CC-4EFC-AA6E-CE4344ECBA17}">
  <ds:schemaRefs/>
</ds:datastoreItem>
</file>

<file path=customXml/itemProps7.xml><?xml version="1.0" encoding="utf-8"?>
<ds:datastoreItem xmlns:ds="http://schemas.openxmlformats.org/officeDocument/2006/customXml" ds:itemID="{7EBAD9F7-20F9-4DD8-B5A1-D8BE043A97CF}">
  <ds:schemaRefs/>
</ds:datastoreItem>
</file>

<file path=customXml/itemProps8.xml><?xml version="1.0" encoding="utf-8"?>
<ds:datastoreItem xmlns:ds="http://schemas.openxmlformats.org/officeDocument/2006/customXml" ds:itemID="{B51FFAB7-8A72-460A-905A-E4369F52DD03}">
  <ds:schemaRefs/>
</ds:datastoreItem>
</file>

<file path=customXml/itemProps9.xml><?xml version="1.0" encoding="utf-8"?>
<ds:datastoreItem xmlns:ds="http://schemas.openxmlformats.org/officeDocument/2006/customXml" ds:itemID="{F983B97C-63D1-4E74-B3D4-7D94D857A850}">
  <ds:schemaRefs/>
</ds:datastoreItem>
</file>

<file path=customXml/itemProps10.xml><?xml version="1.0" encoding="utf-8"?>
<ds:datastoreItem xmlns:ds="http://schemas.openxmlformats.org/officeDocument/2006/customXml" ds:itemID="{2602C3D6-1CC3-4E3C-9976-E98BBA07608A}">
  <ds:schemaRefs/>
</ds:datastoreItem>
</file>

<file path=customXml/itemProps11.xml><?xml version="1.0" encoding="utf-8"?>
<ds:datastoreItem xmlns:ds="http://schemas.openxmlformats.org/officeDocument/2006/customXml" ds:itemID="{8D614C0A-C1D5-4131-B799-8087D62F9D8C}">
  <ds:schemaRefs/>
</ds:datastoreItem>
</file>

<file path=customXml/itemProps12.xml><?xml version="1.0" encoding="utf-8"?>
<ds:datastoreItem xmlns:ds="http://schemas.openxmlformats.org/officeDocument/2006/customXml" ds:itemID="{B395E832-2FB1-4FCC-8347-BC626FE079C4}">
  <ds:schemaRefs/>
</ds:datastoreItem>
</file>

<file path=customXml/itemProps13.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4.xml><?xml version="1.0" encoding="utf-8"?>
<ds:datastoreItem xmlns:ds="http://schemas.openxmlformats.org/officeDocument/2006/customXml" ds:itemID="{38E109C5-2E84-4F87-B114-B2909FDD7E92}">
  <ds:schemaRefs/>
</ds:datastoreItem>
</file>

<file path=customXml/itemProps15.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6.xml><?xml version="1.0" encoding="utf-8"?>
<ds:datastoreItem xmlns:ds="http://schemas.openxmlformats.org/officeDocument/2006/customXml" ds:itemID="{AD81E317-133D-4269-AD8E-F0B60817F787}">
  <ds:schemaRefs/>
</ds:datastoreItem>
</file>

<file path=customXml/itemProps17.xml><?xml version="1.0" encoding="utf-8"?>
<ds:datastoreItem xmlns:ds="http://schemas.openxmlformats.org/officeDocument/2006/customXml" ds:itemID="{A9D16D73-DF80-4591-8AB4-5AF50CD0432F}">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9AFCE036-CB70-4BEA-9D4F-DEFD2F183AF4}">
  <ds:schemaRefs/>
</ds:datastoreItem>
</file>

<file path=customXml/itemProps20.xml><?xml version="1.0" encoding="utf-8"?>
<ds:datastoreItem xmlns:ds="http://schemas.openxmlformats.org/officeDocument/2006/customXml" ds:itemID="{0092E684-A59A-4104-A123-0A01CF8CC963}">
  <ds:schemaRefs/>
</ds:datastoreItem>
</file>

<file path=customXml/itemProps21.xml><?xml version="1.0" encoding="utf-8"?>
<ds:datastoreItem xmlns:ds="http://schemas.openxmlformats.org/officeDocument/2006/customXml" ds:itemID="{0C683F7F-38FA-452A-B137-2BE4C456C086}">
  <ds:schemaRefs/>
</ds:datastoreItem>
</file>

<file path=customXml/itemProps22.xml><?xml version="1.0" encoding="utf-8"?>
<ds:datastoreItem xmlns:ds="http://schemas.openxmlformats.org/officeDocument/2006/customXml" ds:itemID="{1726B34E-27E4-44AF-B32B-538A89F891D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pivot table</vt:lpstr>
      <vt:lpstr>trades</vt:lpstr>
      <vt:lpstr>traders</vt:lpstr>
      <vt:lpstr>client </vt:lpstr>
      <vt:lpstr>productname</vt:lpstr>
      <vt:lpstr>invoice</vt:lpstr>
      <vt:lpstr>salesman</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2026-10-08T17:24:08Z</dcterms:modified>
</cp:coreProperties>
</file>