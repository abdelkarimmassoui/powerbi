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3A59058B-B997-4404-9445-74509E29D482}" xr6:coauthVersionLast="47" xr6:coauthVersionMax="47" xr10:uidLastSave="{00000000-0000-0000-0000-000000000000}"/>
  <bookViews>
    <workbookView xWindow="-108" yWindow="-108" windowWidth="23256" windowHeight="12456" firstSheet="1" activeTab="7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  <sheet name="dashboard" sheetId="9" r:id="rId7"/>
    <sheet name="pivot table sales" sheetId="8" r:id="rId8"/>
    <sheet name="data raw sales" sheetId="7" r:id="rId9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O49" i="8"/>
  <c r="L49" i="8"/>
  <c r="I49" i="8"/>
  <c r="E49" i="8"/>
  <c r="B49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<sst xmlns="http://schemas.openxmlformats.org/spreadsheetml/2006/main" count="256" uniqueCount="79">
  <si>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</si>
  <si>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</si>
  <si>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</si>
  <si>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</si>
  <si>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</si>
  <si>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</si>
  <si>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</si>
  <si>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</si>
  <si>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</si>
  <si>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</si>
  <si>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</si>
  <si>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</si>
  <si>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</si>
  <si>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</si>
  <si>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</si>
  <si>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</si>
  <si>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</si>
  <si>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</si>
  <si>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</si>
  <si>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</si>
  <si>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</si>
  <si>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</si>
  <si>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</si>
  <si>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</si>
  <si>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</si>
  <si>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</si>
  <si>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</si>
  <si>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</si>
  <si>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</si>
  <si>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</si>
  <si>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</si>
  <si>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</si>
  <si>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</si>
  <si>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</si>
  <si>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</si>
  <si>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</si>
  <si>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</si>
  <si>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</si>
  <si>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</si>
  <si>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</si>
  <si>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</si>
  <si>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</si>
  <si>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</si>
  <si>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</si>
  <si>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</si>
  <si>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</si>
  <si>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</si>
  <si>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</si>
  <si>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</si>
  <si>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</si>
  <si>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</si>
  <si>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</si>
  <si>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</si>
  <si>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</si>
  <si>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</si>
  <si>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</si>
  <si>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</si>
  <si>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</si>
  <si>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</si>
  <si>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</si>
  <si>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</si>
  <si>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</si>
  <si>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</si>
  <si>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</si>
  <si>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</si>
  <si>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</si>
  <si>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</si>
  <si>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</si>
  <si>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Sum of Amount</t>
  </si>
  <si>
    <t>saleman by total amount</t>
  </si>
  <si>
    <t>products by total amount</t>
  </si>
  <si>
    <t>Count of Amount</t>
  </si>
  <si>
    <t>total sales</t>
  </si>
  <si>
    <t>total item</t>
  </si>
  <si>
    <t>Average of Amount</t>
  </si>
  <si>
    <t>Max of Amount</t>
  </si>
  <si>
    <t>Min of Amount</t>
  </si>
  <si>
    <t>KPI'S</t>
  </si>
  <si>
    <t>CHARTS 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</si>
</sst>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  <xf numFmtId="14" fontId="0" fillId="0" borderId="0" xfId="0" applyNumberFormat="1"/>
    <xf numFmtId="3" fontId="0" fillId="0" borderId="0" xfId="0" applyNumberFormat="1"/>
    <xf numFmtId="0" fontId="0" fillId="2" borderId="0" xfId="0" applyFill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39">
    <dxf>
      <numFmt numFmtId="3" formatCode="#,##0"/>
    </dxf>
    <dxf>
      <numFmt numFmtId="3" formatCode="#,##0"/>
    </dxf>
    <dxf>
      <numFmt numFmtId="19" formatCode="m/d/yyyy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1.90942974537" createdVersion="8" refreshedVersion="8" minRefreshableVersion="3" recordCount="40" xr:uid="{D641DFE7-4C15-4723-BED5-80B09CEFB3D8}">
  <cacheSource type="worksheet">
    <worksheetSource name="dataraw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/>
    </cacheField>
  </cacheFields>
  <extLst>
    <ext xmlns:x14="http://schemas.microsoft.com/office/spreadsheetml/2009/9/main" uri="{725AE2AE-9491-48be-B2B4-4EB974FC3084}">
      <x14:pivotCacheDefinition pivotCacheId="21236607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s v="Cairo"/>
    <x v="0"/>
    <n v="5"/>
    <n v="210"/>
    <n v="1050"/>
  </r>
  <r>
    <n v="2"/>
    <x v="1"/>
    <x v="1"/>
    <s v="Domietta"/>
    <x v="1"/>
    <n v="3"/>
    <n v="1500"/>
    <n v="4500"/>
  </r>
  <r>
    <n v="3"/>
    <x v="2"/>
    <x v="2"/>
    <s v="Cairo"/>
    <x v="2"/>
    <n v="7"/>
    <n v="2100"/>
    <n v="14700"/>
  </r>
  <r>
    <n v="4"/>
    <x v="3"/>
    <x v="3"/>
    <s v="Cairo"/>
    <x v="0"/>
    <n v="2"/>
    <n v="210"/>
    <n v="420"/>
  </r>
  <r>
    <n v="5"/>
    <x v="4"/>
    <x v="4"/>
    <s v="Domietta"/>
    <x v="1"/>
    <n v="1"/>
    <n v="1500"/>
    <n v="1500"/>
  </r>
  <r>
    <n v="6"/>
    <x v="5"/>
    <x v="5"/>
    <s v="Domietta"/>
    <x v="3"/>
    <n v="4"/>
    <n v="8500"/>
    <n v="34000"/>
  </r>
  <r>
    <n v="7"/>
    <x v="6"/>
    <x v="0"/>
    <s v="Giza"/>
    <x v="4"/>
    <n v="1"/>
    <n v="300"/>
    <n v="300"/>
  </r>
  <r>
    <n v="8"/>
    <x v="7"/>
    <x v="1"/>
    <s v="Domietta"/>
    <x v="3"/>
    <n v="6"/>
    <n v="8500"/>
    <n v="51000"/>
  </r>
  <r>
    <n v="9"/>
    <x v="8"/>
    <x v="2"/>
    <s v="Alexandria"/>
    <x v="5"/>
    <n v="4"/>
    <n v="1200"/>
    <n v="4800"/>
  </r>
  <r>
    <n v="10"/>
    <x v="9"/>
    <x v="3"/>
    <s v="Alexandria"/>
    <x v="2"/>
    <n v="2"/>
    <n v="2100"/>
    <n v="4200"/>
  </r>
  <r>
    <n v="11"/>
    <x v="10"/>
    <x v="4"/>
    <s v="Giza"/>
    <x v="2"/>
    <n v="6"/>
    <n v="2100"/>
    <n v="12600"/>
  </r>
  <r>
    <n v="12"/>
    <x v="11"/>
    <x v="5"/>
    <s v="Alexandria"/>
    <x v="4"/>
    <n v="1"/>
    <n v="300"/>
    <n v="300"/>
  </r>
  <r>
    <n v="13"/>
    <x v="12"/>
    <x v="0"/>
    <s v="Giza"/>
    <x v="2"/>
    <n v="7"/>
    <n v="2100"/>
    <n v="14700"/>
  </r>
  <r>
    <n v="14"/>
    <x v="13"/>
    <x v="1"/>
    <s v="Cairo"/>
    <x v="4"/>
    <n v="6"/>
    <n v="300"/>
    <n v="1800"/>
  </r>
  <r>
    <n v="15"/>
    <x v="14"/>
    <x v="2"/>
    <s v="Domietta"/>
    <x v="2"/>
    <n v="1"/>
    <n v="2100"/>
    <n v="2100"/>
  </r>
  <r>
    <n v="16"/>
    <x v="15"/>
    <x v="3"/>
    <s v="Domietta"/>
    <x v="4"/>
    <n v="2"/>
    <n v="300"/>
    <n v="600"/>
  </r>
  <r>
    <n v="17"/>
    <x v="16"/>
    <x v="4"/>
    <s v="Domietta"/>
    <x v="2"/>
    <n v="7"/>
    <n v="2100"/>
    <n v="14700"/>
  </r>
  <r>
    <n v="18"/>
    <x v="17"/>
    <x v="5"/>
    <s v="Alexandria"/>
    <x v="6"/>
    <n v="6"/>
    <n v="450"/>
    <n v="2700"/>
  </r>
  <r>
    <n v="19"/>
    <x v="18"/>
    <x v="0"/>
    <s v="Domietta"/>
    <x v="7"/>
    <n v="6"/>
    <n v="190"/>
    <n v="1140"/>
  </r>
  <r>
    <n v="20"/>
    <x v="19"/>
    <x v="1"/>
    <s v="Domietta"/>
    <x v="4"/>
    <n v="2"/>
    <n v="300"/>
    <n v="600"/>
  </r>
  <r>
    <n v="21"/>
    <x v="20"/>
    <x v="2"/>
    <s v="Domietta"/>
    <x v="1"/>
    <n v="3"/>
    <n v="1500"/>
    <n v="4500"/>
  </r>
  <r>
    <n v="22"/>
    <x v="21"/>
    <x v="3"/>
    <s v="Giza"/>
    <x v="3"/>
    <n v="5"/>
    <n v="8500"/>
    <n v="42500"/>
  </r>
  <r>
    <n v="23"/>
    <x v="22"/>
    <x v="4"/>
    <s v="Domietta"/>
    <x v="7"/>
    <n v="1"/>
    <n v="190"/>
    <n v="190"/>
  </r>
  <r>
    <n v="24"/>
    <x v="23"/>
    <x v="5"/>
    <s v="Domietta"/>
    <x v="0"/>
    <n v="6"/>
    <n v="210"/>
    <n v="1260"/>
  </r>
  <r>
    <n v="25"/>
    <x v="24"/>
    <x v="0"/>
    <s v="Giza"/>
    <x v="4"/>
    <n v="2"/>
    <n v="300"/>
    <n v="600"/>
  </r>
  <r>
    <n v="26"/>
    <x v="25"/>
    <x v="1"/>
    <s v="Domietta"/>
    <x v="7"/>
    <n v="4"/>
    <n v="190"/>
    <n v="760"/>
  </r>
  <r>
    <n v="27"/>
    <x v="26"/>
    <x v="2"/>
    <s v="Giza"/>
    <x v="3"/>
    <n v="8"/>
    <n v="8500"/>
    <n v="68000"/>
  </r>
  <r>
    <n v="28"/>
    <x v="27"/>
    <x v="3"/>
    <s v="Domietta"/>
    <x v="4"/>
    <n v="3"/>
    <n v="300"/>
    <n v="900"/>
  </r>
  <r>
    <n v="29"/>
    <x v="28"/>
    <x v="4"/>
    <s v="Domietta"/>
    <x v="4"/>
    <n v="7"/>
    <n v="300"/>
    <n v="2100"/>
  </r>
  <r>
    <n v="30"/>
    <x v="29"/>
    <x v="5"/>
    <s v="Giza"/>
    <x v="7"/>
    <n v="4"/>
    <n v="190"/>
    <n v="760"/>
  </r>
  <r>
    <n v="31"/>
    <x v="30"/>
    <x v="0"/>
    <s v="Domietta"/>
    <x v="6"/>
    <n v="2"/>
    <n v="450"/>
    <n v="900"/>
  </r>
  <r>
    <n v="32"/>
    <x v="31"/>
    <x v="1"/>
    <s v="Cairo"/>
    <x v="2"/>
    <n v="3"/>
    <n v="2100"/>
    <n v="6300"/>
  </r>
  <r>
    <n v="33"/>
    <x v="32"/>
    <x v="2"/>
    <s v="Domietta"/>
    <x v="3"/>
    <n v="2"/>
    <n v="8500"/>
    <n v="17000"/>
  </r>
  <r>
    <n v="34"/>
    <x v="33"/>
    <x v="3"/>
    <s v="Giza"/>
    <x v="3"/>
    <n v="8"/>
    <n v="8500"/>
    <n v="68000"/>
  </r>
  <r>
    <n v="35"/>
    <x v="34"/>
    <x v="4"/>
    <s v="Alexandria"/>
    <x v="0"/>
    <n v="2"/>
    <n v="210"/>
    <n v="420"/>
  </r>
  <r>
    <n v="36"/>
    <x v="35"/>
    <x v="5"/>
    <s v="Alexandria"/>
    <x v="7"/>
    <n v="2"/>
    <n v="190"/>
    <n v="380"/>
  </r>
  <r>
    <n v="37"/>
    <x v="36"/>
    <x v="0"/>
    <s v="Alexandria"/>
    <x v="3"/>
    <n v="3"/>
    <n v="8500"/>
    <n v="25500"/>
  </r>
  <r>
    <n v="38"/>
    <x v="37"/>
    <x v="1"/>
    <s v="Giza"/>
    <x v="0"/>
    <n v="5"/>
    <n v="210"/>
    <n v="1050"/>
  </r>
  <r>
    <n v="39"/>
    <x v="38"/>
    <x v="2"/>
    <s v="Domietta"/>
    <x v="2"/>
    <n v="5"/>
    <n v="2100"/>
    <n v="10500"/>
  </r>
  <r>
    <n v="40"/>
    <x v="39"/>
    <x v="3"/>
    <s v="Domietta"/>
    <x v="5"/>
    <n v="6"/>
    <n v="1200"/>
    <n v="7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0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85818-72E6-4AE2-8A25-596CE7DDCE44}" name="PivotTable1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N48:N49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Items count="1">
    <i/>
  </rowItems>
  <colItems count="1">
    <i/>
  </colItems>
  <dataFields count="1">
    <dataField name="Min of Amount" fld="7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9CD4D-7B45-49EE-9F1D-65935E7A87A4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K48:K49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Items count="1">
    <i/>
  </rowItems>
  <colItems count="1">
    <i/>
  </colItems>
  <dataFields count="1">
    <dataField name="Max of Amount" fld="7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BD41DF-B58D-4015-977C-976FF3B038B1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H48:H49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Items count="1">
    <i/>
  </rowItems>
  <colItems count="1">
    <i/>
  </colItems>
  <dataFields count="1">
    <dataField name="Average of Amount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907E-67FE-4AB8-8A19-5F4F4627DFFD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D48:D49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Items count="1">
    <i/>
  </rowItems>
  <colItems count="1">
    <i/>
  </colItems>
  <dataFields count="1">
    <dataField name="total item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A6D576-57C7-4909-9BEB-9A0003E00296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48:A49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Items count="1">
    <i/>
  </rowItems>
  <colItems count="1">
    <i/>
  </colItems>
  <dataFields count="1">
    <dataField name="total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CA7B5-97F8-4219-AD97-3CE5BBB7E6F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4:B13" firstHeaderRow="1" firstDataRow="1" firstDataCol="1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49E7C4-9317-4712-BCEA-AD1C47A69D59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35:E39" firstHeaderRow="1" firstDataRow="1" firstDataCol="1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 measureFilter="1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2" baseItem="0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106AAC-D9B2-4FC1-9230-462032F2416C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35:B39" firstHeaderRow="1" firstDataRow="1" firstDataCol="1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axis="axisRow" showAll="0" measureFilter="1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4">
    <i>
      <x v="2"/>
    </i>
    <i>
      <x v="3"/>
    </i>
    <i>
      <x v="5"/>
    </i>
    <i t="grand">
      <x/>
    </i>
  </rowItems>
  <colItems count="1">
    <i/>
  </colItems>
  <dataFields count="1">
    <dataField name="Sum of Amount" fld="7" baseField="4" baseItem="0"/>
  </dataField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A71428-B028-42AF-AB3D-1A4E862DBE34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18:B27" firstHeaderRow="1" firstDataRow="1" firstDataCol="1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Amount" fld="7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28458-EC56-4BEB-8955-C6F5088054A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20:E27" firstHeaderRow="1" firstDataRow="1" firstDataCol="1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Amount" fld="7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A7D4C-F3B0-4140-8474-8DC713A1D055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4:E11" firstHeaderRow="1" firstDataRow="1" firstDataCol="1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8" headerRowBorderDxfId="37" tableBorderDxfId="36" totalsRowBorderDxfId="35">
  <autoFilter ref="A2:C8" xr:uid="{E9E678CC-A933-4146-A266-8561FE66B063}"/>
  <tableColumns count="3">
    <tableColumn id="1" xr3:uid="{F9EC0535-D2ED-4975-8C35-424457CA2DE6}" name="tradeid" dataDxfId="34"/>
    <tableColumn id="2" xr3:uid="{9B8BB1FC-668E-49CD-A8D7-420D207088F2}" name="pair" dataDxfId="33"/>
    <tableColumn id="3" xr3:uid="{5E681BDC-3DC3-4516-B864-5D0AE1542D9F}" name="profit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31" headerRowBorderDxfId="30" tableBorderDxfId="29" totalsRowBorderDxfId="28">
  <autoFilter ref="A2:C6" xr:uid="{96F793BC-B311-4CDF-8DA7-E3AEA6D0D526}"/>
  <tableColumns count="3">
    <tableColumn id="1" xr3:uid="{68D02487-9EAC-4BB9-9D4A-0CE1E96851CB}" name="tradeid" dataDxfId="27"/>
    <tableColumn id="2" xr3:uid="{12D66D41-0E62-41A4-A2C5-9DF9CB0EA836}" name="name" dataDxfId="26"/>
    <tableColumn id="3" xr3:uid="{A9438FDE-5ADC-4819-BD3E-00588951190F}" name="lastnam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24" headerRowBorderDxfId="23" tableBorderDxfId="22" totalsRowBorderDxfId="21">
  <autoFilter ref="A2:D9" xr:uid="{2486897B-78D6-4FF7-8650-B8C9CDD52BAE}"/>
  <tableColumns count="4">
    <tableColumn id="1" xr3:uid="{777E8C10-BE98-4358-9481-1AB4CFB9A947}" name="clientid" dataDxfId="20"/>
    <tableColumn id="2" xr3:uid="{9A2DEB65-468F-480B-BEF5-AAF8ED365379}" name="name" dataDxfId="19"/>
    <tableColumn id="3" xr3:uid="{1B7491DC-0A23-4566-9F79-D44ECFF3B165}" name="lastname" dataDxfId="18"/>
    <tableColumn id="4" xr3:uid="{58765888-333D-4334-BE18-C549AC0D18CF}" name="country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16" headerRowBorderDxfId="15" tableBorderDxfId="14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9" headerRowBorderDxfId="8" tableBorderDxfId="7" totalsRowBorderDxfId="6">
  <autoFilter ref="A2:C8" xr:uid="{4A9A0CE0-CDE1-4E4A-B9CB-B28BAE8443AB}"/>
  <tableColumns count="3">
    <tableColumn id="1" xr3:uid="{B6A7184C-BE63-4F0C-B6AE-738DB7257FFD}" name="date" dataDxfId="5">
      <calculatedColumnFormula>DATE(2026,10,5)</calculatedColumnFormula>
    </tableColumn>
    <tableColumn id="2" xr3:uid="{B4494D3F-AC50-4F95-AA82-23740AD1A282}" name="clientid" dataDxfId="4"/>
    <tableColumn id="3" xr3:uid="{CB7B7653-9379-419F-BB8E-37E09604FE44}" name="productname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24BCAD-14FE-4CB7-8FC4-4DC9405A7D98}" name="dataraw" displayName="dataraw" ref="A1:H41" totalsRowShown="0">
  <autoFilter ref="A1:H41" xr:uid="{5024BCAD-14FE-4CB7-8FC4-4DC9405A7D98}"/>
  <tableColumns count="8">
    <tableColumn id="1" xr3:uid="{496DC01D-C1B8-4F50-B198-021C6316EBB1}" name="S No"/>
    <tableColumn id="2" xr3:uid="{9D5EF8AD-7F70-4D2E-AAF2-AC2B5045BF09}" name="Date" dataDxfId="2"/>
    <tableColumn id="3" xr3:uid="{4DFF38DE-7B59-4B53-BE04-88EA2263FD98}" name="Salesman"/>
    <tableColumn id="4" xr3:uid="{8C4B621D-F0E4-41E3-95A4-5BF58D197771}" name="Region"/>
    <tableColumn id="5" xr3:uid="{B45792BE-DB9A-43CC-B463-58D04FFD7BE6}" name="Item"/>
    <tableColumn id="6" xr3:uid="{42458240-09FF-4A2A-914B-E1B70CDBF0D0}" name="Qty"/>
    <tableColumn id="7" xr3:uid="{2744D6BC-3E0C-4E5A-BE2A-B227D0CD0077}" name="Price" dataDxfId="1"/>
    <tableColumn id="8" xr3:uid="{ED0648F6-FD27-40AE-88F4-48D1D266766A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H8" sqref="H8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9D9CE-96E1-4E83-82C9-EEA8711E888B}">
  <sheetPr>
    <tabColor theme="9" tint="0.59999389629810485"/>
  </sheetPr>
  <dimension ref="A1"/>
  <sheetViews>
    <sheetView workbookViewId="0">
      <selection activeCell="N21" sqref="N21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BFCFE-B47A-4ABE-91B3-8CD7C2DD2B68}">
  <sheetPr>
    <tabColor theme="9" tint="0.39997558519241921"/>
  </sheetPr>
  <dimension ref="A1:O49"/>
  <sheetViews>
    <sheetView tabSelected="1" topLeftCell="A24" workbookViewId="0">
      <selection activeCell="A3" sqref="A3"/>
    </sheetView>
  </sheetViews>
  <sheetFormatPr defaultRowHeight="14.4" x14ac:dyDescent="0.3"/>
  <cols>
    <col min="1" max="1" width="9.5546875" bestFit="1" customWidth="1"/>
    <col min="2" max="2" width="13.5546875" bestFit="1" customWidth="1"/>
    <col min="4" max="4" width="9.109375" bestFit="1" customWidth="1"/>
    <col min="5" max="5" width="13.5546875" bestFit="1" customWidth="1"/>
    <col min="8" max="8" width="16.33203125" bestFit="1" customWidth="1"/>
    <col min="11" max="11" width="13.109375" bestFit="1" customWidth="1"/>
    <col min="14" max="14" width="12.6640625" bestFit="1" customWidth="1"/>
  </cols>
  <sheetData>
    <row r="1" spans="1:5" x14ac:dyDescent="0.3">
      <c r="A1" s="22" t="s">
        <v>78</v>
      </c>
      <c r="B1" s="22"/>
      <c r="C1" s="22"/>
      <c r="D1" s="22"/>
      <c r="E1" s="22"/>
    </row>
    <row r="2" spans="1:5" x14ac:dyDescent="0.3">
      <c r="A2" s="22"/>
      <c r="B2" s="22"/>
      <c r="C2" s="22"/>
      <c r="D2" s="22"/>
      <c r="E2" s="22"/>
    </row>
    <row r="4" spans="1:5" x14ac:dyDescent="0.3">
      <c r="A4" s="10" t="s">
        <v>70</v>
      </c>
      <c r="B4" t="s">
        <v>68</v>
      </c>
      <c r="D4" s="10" t="s">
        <v>69</v>
      </c>
      <c r="E4" t="s">
        <v>68</v>
      </c>
    </row>
    <row r="5" spans="1:5" x14ac:dyDescent="0.3">
      <c r="A5" s="11" t="s">
        <v>66</v>
      </c>
      <c r="B5" s="12">
        <v>3600</v>
      </c>
      <c r="D5" s="11" t="s">
        <v>50</v>
      </c>
      <c r="E5" s="12">
        <v>44190</v>
      </c>
    </row>
    <row r="6" spans="1:5" x14ac:dyDescent="0.3">
      <c r="A6" s="11" t="s">
        <v>67</v>
      </c>
      <c r="B6" s="12">
        <v>3230</v>
      </c>
      <c r="D6" s="11" t="s">
        <v>53</v>
      </c>
      <c r="E6" s="12">
        <v>66010</v>
      </c>
    </row>
    <row r="7" spans="1:5" x14ac:dyDescent="0.3">
      <c r="A7" s="11" t="s">
        <v>61</v>
      </c>
      <c r="B7" s="12">
        <v>306000</v>
      </c>
      <c r="D7" s="11" t="s">
        <v>56</v>
      </c>
      <c r="E7" s="12">
        <v>121600</v>
      </c>
    </row>
    <row r="8" spans="1:5" x14ac:dyDescent="0.3">
      <c r="A8" s="11" t="s">
        <v>65</v>
      </c>
      <c r="B8" s="12">
        <v>12000</v>
      </c>
      <c r="D8" s="11" t="s">
        <v>58</v>
      </c>
      <c r="E8" s="12">
        <v>123820</v>
      </c>
    </row>
    <row r="9" spans="1:5" x14ac:dyDescent="0.3">
      <c r="A9" s="11" t="s">
        <v>52</v>
      </c>
      <c r="B9" s="12">
        <v>4200</v>
      </c>
      <c r="D9" s="11" t="s">
        <v>60</v>
      </c>
      <c r="E9" s="12">
        <v>39400</v>
      </c>
    </row>
    <row r="10" spans="1:5" x14ac:dyDescent="0.3">
      <c r="A10" s="11" t="s">
        <v>57</v>
      </c>
      <c r="B10" s="12">
        <v>79800</v>
      </c>
      <c r="D10" s="11" t="s">
        <v>59</v>
      </c>
      <c r="E10" s="12">
        <v>31510</v>
      </c>
    </row>
    <row r="11" spans="1:5" x14ac:dyDescent="0.3">
      <c r="A11" s="11" t="s">
        <v>55</v>
      </c>
      <c r="B11" s="12">
        <v>10500</v>
      </c>
      <c r="D11" s="11" t="s">
        <v>14</v>
      </c>
      <c r="E11" s="12">
        <v>426530</v>
      </c>
    </row>
    <row r="12" spans="1:5" x14ac:dyDescent="0.3">
      <c r="A12" s="11" t="s">
        <v>63</v>
      </c>
      <c r="B12" s="12">
        <v>7200</v>
      </c>
    </row>
    <row r="13" spans="1:5" x14ac:dyDescent="0.3">
      <c r="A13" s="11" t="s">
        <v>14</v>
      </c>
      <c r="B13" s="12">
        <v>426530</v>
      </c>
    </row>
    <row r="18" spans="1:5" x14ac:dyDescent="0.3">
      <c r="A18" s="10" t="s">
        <v>70</v>
      </c>
      <c r="B18" t="s">
        <v>71</v>
      </c>
    </row>
    <row r="19" spans="1:5" x14ac:dyDescent="0.3">
      <c r="A19" s="11" t="s">
        <v>66</v>
      </c>
      <c r="B19" s="12">
        <v>2</v>
      </c>
    </row>
    <row r="20" spans="1:5" x14ac:dyDescent="0.3">
      <c r="A20" s="11" t="s">
        <v>67</v>
      </c>
      <c r="B20" s="12">
        <v>5</v>
      </c>
      <c r="D20" s="10" t="s">
        <v>69</v>
      </c>
      <c r="E20" t="s">
        <v>71</v>
      </c>
    </row>
    <row r="21" spans="1:5" x14ac:dyDescent="0.3">
      <c r="A21" s="11" t="s">
        <v>61</v>
      </c>
      <c r="B21" s="12">
        <v>7</v>
      </c>
      <c r="D21" s="11" t="s">
        <v>50</v>
      </c>
      <c r="E21" s="12">
        <v>7</v>
      </c>
    </row>
    <row r="22" spans="1:5" x14ac:dyDescent="0.3">
      <c r="A22" s="11" t="s">
        <v>65</v>
      </c>
      <c r="B22" s="12">
        <v>2</v>
      </c>
      <c r="D22" s="11" t="s">
        <v>53</v>
      </c>
      <c r="E22" s="12">
        <v>7</v>
      </c>
    </row>
    <row r="23" spans="1:5" x14ac:dyDescent="0.3">
      <c r="A23" s="11" t="s">
        <v>52</v>
      </c>
      <c r="B23" s="12">
        <v>5</v>
      </c>
      <c r="D23" s="11" t="s">
        <v>56</v>
      </c>
      <c r="E23" s="12">
        <v>7</v>
      </c>
    </row>
    <row r="24" spans="1:5" x14ac:dyDescent="0.3">
      <c r="A24" s="11" t="s">
        <v>57</v>
      </c>
      <c r="B24" s="12">
        <v>8</v>
      </c>
      <c r="D24" s="11" t="s">
        <v>58</v>
      </c>
      <c r="E24" s="12">
        <v>7</v>
      </c>
    </row>
    <row r="25" spans="1:5" x14ac:dyDescent="0.3">
      <c r="A25" s="11" t="s">
        <v>55</v>
      </c>
      <c r="B25" s="12">
        <v>3</v>
      </c>
      <c r="D25" s="11" t="s">
        <v>60</v>
      </c>
      <c r="E25" s="12">
        <v>6</v>
      </c>
    </row>
    <row r="26" spans="1:5" x14ac:dyDescent="0.3">
      <c r="A26" s="11" t="s">
        <v>63</v>
      </c>
      <c r="B26" s="12">
        <v>8</v>
      </c>
      <c r="D26" s="11" t="s">
        <v>59</v>
      </c>
      <c r="E26" s="12">
        <v>6</v>
      </c>
    </row>
    <row r="27" spans="1:5" x14ac:dyDescent="0.3">
      <c r="A27" s="11" t="s">
        <v>14</v>
      </c>
      <c r="B27" s="12">
        <v>40</v>
      </c>
      <c r="D27" s="11" t="s">
        <v>14</v>
      </c>
      <c r="E27" s="12">
        <v>40</v>
      </c>
    </row>
    <row r="35" spans="1:15" x14ac:dyDescent="0.3">
      <c r="A35" s="10" t="s">
        <v>70</v>
      </c>
      <c r="B35" t="s">
        <v>68</v>
      </c>
      <c r="D35" s="10" t="s">
        <v>69</v>
      </c>
      <c r="E35" t="s">
        <v>68</v>
      </c>
    </row>
    <row r="36" spans="1:15" x14ac:dyDescent="0.3">
      <c r="A36" s="11" t="s">
        <v>61</v>
      </c>
      <c r="B36" s="12">
        <v>306000</v>
      </c>
      <c r="D36" s="11" t="s">
        <v>53</v>
      </c>
      <c r="E36" s="12">
        <v>66010</v>
      </c>
    </row>
    <row r="37" spans="1:15" x14ac:dyDescent="0.3">
      <c r="A37" s="11" t="s">
        <v>65</v>
      </c>
      <c r="B37" s="12">
        <v>12000</v>
      </c>
      <c r="D37" s="11" t="s">
        <v>56</v>
      </c>
      <c r="E37" s="12">
        <v>121600</v>
      </c>
    </row>
    <row r="38" spans="1:15" x14ac:dyDescent="0.3">
      <c r="A38" s="11" t="s">
        <v>57</v>
      </c>
      <c r="B38" s="12">
        <v>79800</v>
      </c>
      <c r="D38" s="11" t="s">
        <v>58</v>
      </c>
      <c r="E38" s="12">
        <v>123820</v>
      </c>
    </row>
    <row r="39" spans="1:15" x14ac:dyDescent="0.3">
      <c r="A39" s="11" t="s">
        <v>14</v>
      </c>
      <c r="B39" s="12">
        <v>397800</v>
      </c>
      <c r="D39" s="11" t="s">
        <v>14</v>
      </c>
      <c r="E39" s="12">
        <v>311430</v>
      </c>
    </row>
    <row r="44" spans="1:15" x14ac:dyDescent="0.3">
      <c r="A44" s="21" t="s">
        <v>77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spans="1:15" x14ac:dyDescent="0.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8" spans="1:15" x14ac:dyDescent="0.3">
      <c r="A48" t="s">
        <v>72</v>
      </c>
      <c r="D48" t="s">
        <v>73</v>
      </c>
      <c r="H48" t="s">
        <v>74</v>
      </c>
      <c r="K48" t="s">
        <v>75</v>
      </c>
      <c r="N48" t="s">
        <v>76</v>
      </c>
    </row>
    <row r="49" spans="1:15" x14ac:dyDescent="0.3">
      <c r="A49" s="12">
        <v>426530</v>
      </c>
      <c r="B49" s="20">
        <f>GETPIVOTDATA("Amount",$A$48)</f>
        <v>426530</v>
      </c>
      <c r="D49" s="12">
        <v>40</v>
      </c>
      <c r="E49" s="20">
        <f>GETPIVOTDATA("Amount",$D$48)</f>
        <v>40</v>
      </c>
      <c r="H49" s="12">
        <v>10663.25</v>
      </c>
      <c r="I49" s="20">
        <f>GETPIVOTDATA("Amount",$H$48)</f>
        <v>10663.25</v>
      </c>
      <c r="K49" s="12">
        <v>68000</v>
      </c>
      <c r="L49" s="20">
        <f>GETPIVOTDATA("Amount",$K$48)</f>
        <v>68000</v>
      </c>
      <c r="N49" s="12">
        <v>190</v>
      </c>
      <c r="O49" s="20">
        <f>GETPIVOTDATA("Amount",$N$48)</f>
        <v>190</v>
      </c>
    </row>
  </sheetData>
  <mergeCells count="2">
    <mergeCell ref="A44:O45"/>
    <mergeCell ref="A1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1A0D-F9CD-4A55-9EED-5EA4530ED298}">
  <sheetPr>
    <tabColor theme="9" tint="-0.249977111117893"/>
  </sheetPr>
  <dimension ref="A1:H41"/>
  <sheetViews>
    <sheetView topLeftCell="A2" workbookViewId="0">
      <selection activeCell="D11" sqref="D11"/>
    </sheetView>
  </sheetViews>
  <sheetFormatPr defaultRowHeight="14.4" x14ac:dyDescent="0.3"/>
  <cols>
    <col min="3" max="3" width="11.109375" customWidth="1"/>
    <col min="8" max="8" width="9.33203125" customWidth="1"/>
  </cols>
  <sheetData>
    <row r="1" spans="1:8" x14ac:dyDescent="0.3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 x14ac:dyDescent="0.3">
      <c r="A2">
        <v>1</v>
      </c>
      <c r="B2" s="18">
        <v>44927</v>
      </c>
      <c r="C2" t="s">
        <v>50</v>
      </c>
      <c r="D2" t="s">
        <v>51</v>
      </c>
      <c r="E2" t="s">
        <v>52</v>
      </c>
      <c r="F2">
        <v>5</v>
      </c>
      <c r="G2">
        <v>210</v>
      </c>
      <c r="H2" s="19">
        <v>1050</v>
      </c>
    </row>
    <row r="3" spans="1:8" x14ac:dyDescent="0.3">
      <c r="A3">
        <v>2</v>
      </c>
      <c r="B3" s="18">
        <v>44928</v>
      </c>
      <c r="C3" t="s">
        <v>53</v>
      </c>
      <c r="D3" t="s">
        <v>54</v>
      </c>
      <c r="E3" t="s">
        <v>55</v>
      </c>
      <c r="F3">
        <v>3</v>
      </c>
      <c r="G3" s="19">
        <v>1500</v>
      </c>
      <c r="H3" s="19">
        <v>4500</v>
      </c>
    </row>
    <row r="4" spans="1:8" x14ac:dyDescent="0.3">
      <c r="A4">
        <v>3</v>
      </c>
      <c r="B4" s="18">
        <v>44929</v>
      </c>
      <c r="C4" t="s">
        <v>56</v>
      </c>
      <c r="D4" t="s">
        <v>51</v>
      </c>
      <c r="E4" t="s">
        <v>57</v>
      </c>
      <c r="F4">
        <v>7</v>
      </c>
      <c r="G4" s="19">
        <v>2100</v>
      </c>
      <c r="H4" s="19">
        <v>14700</v>
      </c>
    </row>
    <row r="5" spans="1:8" x14ac:dyDescent="0.3">
      <c r="A5">
        <v>4</v>
      </c>
      <c r="B5" s="18">
        <v>44930</v>
      </c>
      <c r="C5" t="s">
        <v>58</v>
      </c>
      <c r="D5" t="s">
        <v>51</v>
      </c>
      <c r="E5" t="s">
        <v>52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8">
        <v>44931</v>
      </c>
      <c r="C6" t="s">
        <v>59</v>
      </c>
      <c r="D6" t="s">
        <v>54</v>
      </c>
      <c r="E6" t="s">
        <v>55</v>
      </c>
      <c r="F6">
        <v>1</v>
      </c>
      <c r="G6" s="19">
        <v>1500</v>
      </c>
      <c r="H6" s="19">
        <v>1500</v>
      </c>
    </row>
    <row r="7" spans="1:8" x14ac:dyDescent="0.3">
      <c r="A7">
        <v>6</v>
      </c>
      <c r="B7" s="18">
        <v>44932</v>
      </c>
      <c r="C7" t="s">
        <v>60</v>
      </c>
      <c r="D7" t="s">
        <v>54</v>
      </c>
      <c r="E7" t="s">
        <v>61</v>
      </c>
      <c r="F7">
        <v>4</v>
      </c>
      <c r="G7" s="19">
        <v>8500</v>
      </c>
      <c r="H7" s="19">
        <v>34000</v>
      </c>
    </row>
    <row r="8" spans="1:8" x14ac:dyDescent="0.3">
      <c r="A8">
        <v>7</v>
      </c>
      <c r="B8" s="18">
        <v>44933</v>
      </c>
      <c r="C8" t="s">
        <v>50</v>
      </c>
      <c r="D8" t="s">
        <v>62</v>
      </c>
      <c r="E8" t="s">
        <v>63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8">
        <v>44934</v>
      </c>
      <c r="C9" t="s">
        <v>53</v>
      </c>
      <c r="D9" t="s">
        <v>54</v>
      </c>
      <c r="E9" t="s">
        <v>61</v>
      </c>
      <c r="F9">
        <v>6</v>
      </c>
      <c r="G9" s="19">
        <v>8500</v>
      </c>
      <c r="H9" s="19">
        <v>51000</v>
      </c>
    </row>
    <row r="10" spans="1:8" x14ac:dyDescent="0.3">
      <c r="A10">
        <v>9</v>
      </c>
      <c r="B10" s="18">
        <v>44935</v>
      </c>
      <c r="C10" t="s">
        <v>56</v>
      </c>
      <c r="D10" t="s">
        <v>64</v>
      </c>
      <c r="E10" t="s">
        <v>65</v>
      </c>
      <c r="F10">
        <v>4</v>
      </c>
      <c r="G10" s="19">
        <v>1200</v>
      </c>
      <c r="H10" s="19">
        <v>4800</v>
      </c>
    </row>
    <row r="11" spans="1:8" x14ac:dyDescent="0.3">
      <c r="A11">
        <v>10</v>
      </c>
      <c r="B11" s="18">
        <v>44936</v>
      </c>
      <c r="C11" t="s">
        <v>58</v>
      </c>
      <c r="D11" t="s">
        <v>64</v>
      </c>
      <c r="E11" t="s">
        <v>57</v>
      </c>
      <c r="F11">
        <v>2</v>
      </c>
      <c r="G11" s="19">
        <v>2100</v>
      </c>
      <c r="H11" s="19">
        <v>4200</v>
      </c>
    </row>
    <row r="12" spans="1:8" x14ac:dyDescent="0.3">
      <c r="A12">
        <v>11</v>
      </c>
      <c r="B12" s="18">
        <v>44937</v>
      </c>
      <c r="C12" t="s">
        <v>59</v>
      </c>
      <c r="D12" t="s">
        <v>62</v>
      </c>
      <c r="E12" t="s">
        <v>57</v>
      </c>
      <c r="F12">
        <v>6</v>
      </c>
      <c r="G12" s="19">
        <v>2100</v>
      </c>
      <c r="H12" s="19">
        <v>12600</v>
      </c>
    </row>
    <row r="13" spans="1:8" x14ac:dyDescent="0.3">
      <c r="A13">
        <v>12</v>
      </c>
      <c r="B13" s="18">
        <v>44938</v>
      </c>
      <c r="C13" t="s">
        <v>60</v>
      </c>
      <c r="D13" t="s">
        <v>64</v>
      </c>
      <c r="E13" t="s">
        <v>63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8">
        <v>44939</v>
      </c>
      <c r="C14" t="s">
        <v>50</v>
      </c>
      <c r="D14" t="s">
        <v>62</v>
      </c>
      <c r="E14" t="s">
        <v>57</v>
      </c>
      <c r="F14">
        <v>7</v>
      </c>
      <c r="G14" s="19">
        <v>2100</v>
      </c>
      <c r="H14" s="19">
        <v>14700</v>
      </c>
    </row>
    <row r="15" spans="1:8" x14ac:dyDescent="0.3">
      <c r="A15">
        <v>14</v>
      </c>
      <c r="B15" s="18">
        <v>44940</v>
      </c>
      <c r="C15" t="s">
        <v>53</v>
      </c>
      <c r="D15" t="s">
        <v>51</v>
      </c>
      <c r="E15" t="s">
        <v>63</v>
      </c>
      <c r="F15">
        <v>6</v>
      </c>
      <c r="G15">
        <v>300</v>
      </c>
      <c r="H15" s="19">
        <v>1800</v>
      </c>
    </row>
    <row r="16" spans="1:8" x14ac:dyDescent="0.3">
      <c r="A16">
        <v>15</v>
      </c>
      <c r="B16" s="18">
        <v>44941</v>
      </c>
      <c r="C16" t="s">
        <v>56</v>
      </c>
      <c r="D16" t="s">
        <v>54</v>
      </c>
      <c r="E16" t="s">
        <v>57</v>
      </c>
      <c r="F16">
        <v>1</v>
      </c>
      <c r="G16" s="19">
        <v>2100</v>
      </c>
      <c r="H16" s="19">
        <v>2100</v>
      </c>
    </row>
    <row r="17" spans="1:8" x14ac:dyDescent="0.3">
      <c r="A17">
        <v>16</v>
      </c>
      <c r="B17" s="18">
        <v>44942</v>
      </c>
      <c r="C17" t="s">
        <v>58</v>
      </c>
      <c r="D17" t="s">
        <v>54</v>
      </c>
      <c r="E17" t="s">
        <v>63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8">
        <v>44943</v>
      </c>
      <c r="C18" t="s">
        <v>59</v>
      </c>
      <c r="D18" t="s">
        <v>54</v>
      </c>
      <c r="E18" t="s">
        <v>57</v>
      </c>
      <c r="F18">
        <v>7</v>
      </c>
      <c r="G18" s="19">
        <v>2100</v>
      </c>
      <c r="H18" s="19">
        <v>14700</v>
      </c>
    </row>
    <row r="19" spans="1:8" x14ac:dyDescent="0.3">
      <c r="A19">
        <v>18</v>
      </c>
      <c r="B19" s="18">
        <v>44944</v>
      </c>
      <c r="C19" t="s">
        <v>60</v>
      </c>
      <c r="D19" t="s">
        <v>64</v>
      </c>
      <c r="E19" t="s">
        <v>66</v>
      </c>
      <c r="F19">
        <v>6</v>
      </c>
      <c r="G19">
        <v>450</v>
      </c>
      <c r="H19" s="19">
        <v>2700</v>
      </c>
    </row>
    <row r="20" spans="1:8" x14ac:dyDescent="0.3">
      <c r="A20">
        <v>19</v>
      </c>
      <c r="B20" s="18">
        <v>44945</v>
      </c>
      <c r="C20" t="s">
        <v>50</v>
      </c>
      <c r="D20" t="s">
        <v>54</v>
      </c>
      <c r="E20" t="s">
        <v>67</v>
      </c>
      <c r="F20">
        <v>6</v>
      </c>
      <c r="G20">
        <v>190</v>
      </c>
      <c r="H20" s="19">
        <v>1140</v>
      </c>
    </row>
    <row r="21" spans="1:8" x14ac:dyDescent="0.3">
      <c r="A21">
        <v>20</v>
      </c>
      <c r="B21" s="18">
        <v>44946</v>
      </c>
      <c r="C21" t="s">
        <v>53</v>
      </c>
      <c r="D21" t="s">
        <v>54</v>
      </c>
      <c r="E21" t="s">
        <v>63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8">
        <v>44947</v>
      </c>
      <c r="C22" t="s">
        <v>56</v>
      </c>
      <c r="D22" t="s">
        <v>54</v>
      </c>
      <c r="E22" t="s">
        <v>55</v>
      </c>
      <c r="F22">
        <v>3</v>
      </c>
      <c r="G22" s="19">
        <v>1500</v>
      </c>
      <c r="H22" s="19">
        <v>4500</v>
      </c>
    </row>
    <row r="23" spans="1:8" x14ac:dyDescent="0.3">
      <c r="A23">
        <v>22</v>
      </c>
      <c r="B23" s="18">
        <v>44948</v>
      </c>
      <c r="C23" t="s">
        <v>58</v>
      </c>
      <c r="D23" t="s">
        <v>62</v>
      </c>
      <c r="E23" t="s">
        <v>61</v>
      </c>
      <c r="F23">
        <v>5</v>
      </c>
      <c r="G23" s="19">
        <v>8500</v>
      </c>
      <c r="H23" s="19">
        <v>42500</v>
      </c>
    </row>
    <row r="24" spans="1:8" x14ac:dyDescent="0.3">
      <c r="A24">
        <v>23</v>
      </c>
      <c r="B24" s="18">
        <v>44949</v>
      </c>
      <c r="C24" t="s">
        <v>59</v>
      </c>
      <c r="D24" t="s">
        <v>54</v>
      </c>
      <c r="E24" t="s">
        <v>67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8">
        <v>44950</v>
      </c>
      <c r="C25" t="s">
        <v>60</v>
      </c>
      <c r="D25" t="s">
        <v>54</v>
      </c>
      <c r="E25" t="s">
        <v>52</v>
      </c>
      <c r="F25">
        <v>6</v>
      </c>
      <c r="G25">
        <v>210</v>
      </c>
      <c r="H25" s="19">
        <v>1260</v>
      </c>
    </row>
    <row r="26" spans="1:8" x14ac:dyDescent="0.3">
      <c r="A26">
        <v>25</v>
      </c>
      <c r="B26" s="18">
        <v>44951</v>
      </c>
      <c r="C26" t="s">
        <v>50</v>
      </c>
      <c r="D26" t="s">
        <v>62</v>
      </c>
      <c r="E26" t="s">
        <v>63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8">
        <v>44952</v>
      </c>
      <c r="C27" t="s">
        <v>53</v>
      </c>
      <c r="D27" t="s">
        <v>54</v>
      </c>
      <c r="E27" t="s">
        <v>67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8">
        <v>44953</v>
      </c>
      <c r="C28" t="s">
        <v>56</v>
      </c>
      <c r="D28" t="s">
        <v>62</v>
      </c>
      <c r="E28" t="s">
        <v>61</v>
      </c>
      <c r="F28">
        <v>8</v>
      </c>
      <c r="G28" s="19">
        <v>8500</v>
      </c>
      <c r="H28" s="19">
        <v>68000</v>
      </c>
    </row>
    <row r="29" spans="1:8" x14ac:dyDescent="0.3">
      <c r="A29">
        <v>28</v>
      </c>
      <c r="B29" s="18">
        <v>44954</v>
      </c>
      <c r="C29" t="s">
        <v>58</v>
      </c>
      <c r="D29" t="s">
        <v>54</v>
      </c>
      <c r="E29" t="s">
        <v>63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8">
        <v>44955</v>
      </c>
      <c r="C30" t="s">
        <v>59</v>
      </c>
      <c r="D30" t="s">
        <v>54</v>
      </c>
      <c r="E30" t="s">
        <v>63</v>
      </c>
      <c r="F30">
        <v>7</v>
      </c>
      <c r="G30">
        <v>300</v>
      </c>
      <c r="H30" s="19">
        <v>2100</v>
      </c>
    </row>
    <row r="31" spans="1:8" x14ac:dyDescent="0.3">
      <c r="A31">
        <v>30</v>
      </c>
      <c r="B31" s="18">
        <v>44956</v>
      </c>
      <c r="C31" t="s">
        <v>60</v>
      </c>
      <c r="D31" t="s">
        <v>62</v>
      </c>
      <c r="E31" t="s">
        <v>67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8">
        <v>44957</v>
      </c>
      <c r="C32" t="s">
        <v>50</v>
      </c>
      <c r="D32" t="s">
        <v>54</v>
      </c>
      <c r="E32" t="s">
        <v>66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8">
        <v>44958</v>
      </c>
      <c r="C33" t="s">
        <v>53</v>
      </c>
      <c r="D33" t="s">
        <v>51</v>
      </c>
      <c r="E33" t="s">
        <v>57</v>
      </c>
      <c r="F33">
        <v>3</v>
      </c>
      <c r="G33" s="19">
        <v>2100</v>
      </c>
      <c r="H33" s="19">
        <v>6300</v>
      </c>
    </row>
    <row r="34" spans="1:8" x14ac:dyDescent="0.3">
      <c r="A34">
        <v>33</v>
      </c>
      <c r="B34" s="18">
        <v>44959</v>
      </c>
      <c r="C34" t="s">
        <v>56</v>
      </c>
      <c r="D34" t="s">
        <v>54</v>
      </c>
      <c r="E34" t="s">
        <v>61</v>
      </c>
      <c r="F34">
        <v>2</v>
      </c>
      <c r="G34" s="19">
        <v>8500</v>
      </c>
      <c r="H34" s="19">
        <v>17000</v>
      </c>
    </row>
    <row r="35" spans="1:8" x14ac:dyDescent="0.3">
      <c r="A35">
        <v>34</v>
      </c>
      <c r="B35" s="18">
        <v>44960</v>
      </c>
      <c r="C35" t="s">
        <v>58</v>
      </c>
      <c r="D35" t="s">
        <v>62</v>
      </c>
      <c r="E35" t="s">
        <v>61</v>
      </c>
      <c r="F35">
        <v>8</v>
      </c>
      <c r="G35" s="19">
        <v>8500</v>
      </c>
      <c r="H35" s="19">
        <v>68000</v>
      </c>
    </row>
    <row r="36" spans="1:8" x14ac:dyDescent="0.3">
      <c r="A36">
        <v>35</v>
      </c>
      <c r="B36" s="18">
        <v>44961</v>
      </c>
      <c r="C36" t="s">
        <v>59</v>
      </c>
      <c r="D36" t="s">
        <v>64</v>
      </c>
      <c r="E36" t="s">
        <v>52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8">
        <v>44962</v>
      </c>
      <c r="C37" t="s">
        <v>60</v>
      </c>
      <c r="D37" t="s">
        <v>64</v>
      </c>
      <c r="E37" t="s">
        <v>67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8">
        <v>44963</v>
      </c>
      <c r="C38" t="s">
        <v>50</v>
      </c>
      <c r="D38" t="s">
        <v>64</v>
      </c>
      <c r="E38" t="s">
        <v>61</v>
      </c>
      <c r="F38">
        <v>3</v>
      </c>
      <c r="G38" s="19">
        <v>8500</v>
      </c>
      <c r="H38" s="19">
        <v>25500</v>
      </c>
    </row>
    <row r="39" spans="1:8" x14ac:dyDescent="0.3">
      <c r="A39">
        <v>38</v>
      </c>
      <c r="B39" s="18">
        <v>44964</v>
      </c>
      <c r="C39" t="s">
        <v>53</v>
      </c>
      <c r="D39" t="s">
        <v>62</v>
      </c>
      <c r="E39" t="s">
        <v>52</v>
      </c>
      <c r="F39">
        <v>5</v>
      </c>
      <c r="G39">
        <v>210</v>
      </c>
      <c r="H39" s="19">
        <v>1050</v>
      </c>
    </row>
    <row r="40" spans="1:8" x14ac:dyDescent="0.3">
      <c r="A40">
        <v>39</v>
      </c>
      <c r="B40" s="18">
        <v>44965</v>
      </c>
      <c r="C40" t="s">
        <v>56</v>
      </c>
      <c r="D40" t="s">
        <v>54</v>
      </c>
      <c r="E40" t="s">
        <v>57</v>
      </c>
      <c r="F40">
        <v>5</v>
      </c>
      <c r="G40" s="19">
        <v>2100</v>
      </c>
      <c r="H40" s="19">
        <v>10500</v>
      </c>
    </row>
    <row r="41" spans="1:8" x14ac:dyDescent="0.3">
      <c r="A41">
        <v>40</v>
      </c>
      <c r="B41" s="18">
        <v>44966</v>
      </c>
      <c r="C41" t="s">
        <v>58</v>
      </c>
      <c r="D41" t="s">
        <v>54</v>
      </c>
      <c r="E41" t="s">
        <v>65</v>
      </c>
      <c r="F41">
        <v>6</v>
      </c>
      <c r="G41" s="19">
        <v>1200</v>
      </c>
      <c r="H41" s="19">
        <v>7200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E3BFA8F2-3794-431F-9EB3-21512B27BFD5}">
  <ds:schemaRefs/>
</ds:datastoreItem>
</file>

<file path=customXml/itemProps2.xml><?xml version="1.0" encoding="utf-8"?>
<ds:datastoreItem xmlns:ds="http://schemas.openxmlformats.org/officeDocument/2006/customXml" ds:itemID="{BC246F50-D6F7-44C6-B8B9-1DFA91E983AB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B395E832-2FB1-4FCC-8347-BC626FE079C4}">
  <ds:schemaRefs/>
</ds:datastoreItem>
</file>

<file path=customXml/itemProps5.xml><?xml version="1.0" encoding="utf-8"?>
<ds:datastoreItem xmlns:ds="http://schemas.openxmlformats.org/officeDocument/2006/customXml" ds:itemID="{B51FFAB7-8A72-460A-905A-E4369F52DD03}">
  <ds:schemaRefs/>
</ds:datastoreItem>
</file>

<file path=customXml/itemProps6.xml><?xml version="1.0" encoding="utf-8"?>
<ds:datastoreItem xmlns:ds="http://schemas.openxmlformats.org/officeDocument/2006/customXml" ds:itemID="{0092E684-A59A-4104-A123-0A01CF8CC963}">
  <ds:schemaRefs/>
</ds:datastoreItem>
</file>

<file path=customXml/itemProps7.xml><?xml version="1.0" encoding="utf-8"?>
<ds:datastoreItem xmlns:ds="http://schemas.openxmlformats.org/officeDocument/2006/customXml" ds:itemID="{AEAAFECA-2DE4-4B02-AD25-A0FB5A56E772}">
  <ds:schemaRefs/>
</ds:datastoreItem>
</file>

<file path=customXml/itemProps8.xml><?xml version="1.0" encoding="utf-8"?>
<ds:datastoreItem xmlns:ds="http://schemas.openxmlformats.org/officeDocument/2006/customXml" ds:itemID="{A9D16D73-DF80-4591-8AB4-5AF50CD0432F}">
  <ds:schemaRefs/>
</ds:datastoreItem>
</file>

<file path=customXml/itemProps9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10.xml><?xml version="1.0" encoding="utf-8"?>
<ds:datastoreItem xmlns:ds="http://schemas.openxmlformats.org/officeDocument/2006/customXml" ds:itemID="{62B2A0ED-C6CC-4EFC-AA6E-CE4344ECBA17}">
  <ds:schemaRefs/>
</ds:datastoreItem>
</file>

<file path=customXml/itemProps11.xml><?xml version="1.0" encoding="utf-8"?>
<ds:datastoreItem xmlns:ds="http://schemas.openxmlformats.org/officeDocument/2006/customXml" ds:itemID="{D1CDC618-B7E4-42ED-9136-887556D3E8F6}">
  <ds:schemaRefs/>
</ds:datastoreItem>
</file>

<file path=customXml/itemProps12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3.xml><?xml version="1.0" encoding="utf-8"?>
<ds:datastoreItem xmlns:ds="http://schemas.openxmlformats.org/officeDocument/2006/customXml" ds:itemID="{F983B97C-63D1-4E74-B3D4-7D94D857A850}">
  <ds:schemaRefs/>
</ds:datastoreItem>
</file>

<file path=customXml/itemProps14.xml><?xml version="1.0" encoding="utf-8"?>
<ds:datastoreItem xmlns:ds="http://schemas.openxmlformats.org/officeDocument/2006/customXml" ds:itemID="{0C683F7F-38FA-452A-B137-2BE4C456C086}">
  <ds:schemaRefs/>
</ds:datastoreItem>
</file>

<file path=customXml/itemProps15.xml><?xml version="1.0" encoding="utf-8"?>
<ds:datastoreItem xmlns:ds="http://schemas.openxmlformats.org/officeDocument/2006/customXml" ds:itemID="{EA216088-64F2-4B38-88C8-2BB51C84CDE2}">
  <ds:schemaRefs/>
</ds:datastoreItem>
</file>

<file path=customXml/itemProps16.xml><?xml version="1.0" encoding="utf-8"?>
<ds:datastoreItem xmlns:ds="http://schemas.openxmlformats.org/officeDocument/2006/customXml" ds:itemID="{9AFCE036-CB70-4BEA-9D4F-DEFD2F183AF4}">
  <ds:schemaRefs/>
</ds:datastoreItem>
</file>

<file path=customXml/itemProps17.xml><?xml version="1.0" encoding="utf-8"?>
<ds:datastoreItem xmlns:ds="http://schemas.openxmlformats.org/officeDocument/2006/customXml" ds:itemID="{38E109C5-2E84-4F87-B114-B2909FDD7E92}">
  <ds:schemaRefs/>
</ds:datastoreItem>
</file>

<file path=customXml/itemProps18.xml><?xml version="1.0" encoding="utf-8"?>
<ds:datastoreItem xmlns:ds="http://schemas.openxmlformats.org/officeDocument/2006/customXml" ds:itemID="{2602C3D6-1CC3-4E3C-9976-E98BBA07608A}">
  <ds:schemaRefs/>
</ds:datastoreItem>
</file>

<file path=customXml/itemProps19.xml><?xml version="1.0" encoding="utf-8"?>
<ds:datastoreItem xmlns:ds="http://schemas.openxmlformats.org/officeDocument/2006/customXml" ds:itemID="{1726B34E-27E4-44AF-B32B-538A89F891D7}">
  <ds:schemaRefs/>
</ds:datastoreItem>
</file>

<file path=customXml/itemProps20.xml><?xml version="1.0" encoding="utf-8"?>
<ds:datastoreItem xmlns:ds="http://schemas.openxmlformats.org/officeDocument/2006/customXml" ds:itemID="{009A43EF-AB09-4DF7-BCBD-BD0B054FA1A7}">
  <ds:schemaRefs/>
</ds:datastoreItem>
</file>

<file path=customXml/itemProps21.xml><?xml version="1.0" encoding="utf-8"?>
<ds:datastoreItem xmlns:ds="http://schemas.openxmlformats.org/officeDocument/2006/customXml" ds:itemID="{8D614C0A-C1D5-4131-B799-8087D62F9D8C}">
  <ds:schemaRefs/>
</ds:datastoreItem>
</file>

<file path=customXml/itemProps22.xml><?xml version="1.0" encoding="utf-8"?>
<ds:datastoreItem xmlns:ds="http://schemas.openxmlformats.org/officeDocument/2006/customXml" ds:itemID="{7EBAD9F7-20F9-4DD8-B5A1-D8BE043A97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 table</vt:lpstr>
      <vt:lpstr>trades</vt:lpstr>
      <vt:lpstr>traders</vt:lpstr>
      <vt:lpstr>client </vt:lpstr>
      <vt:lpstr>productname</vt:lpstr>
      <vt:lpstr>invoice</vt:lpstr>
      <vt:lpstr>dashboard</vt:lpstr>
      <vt:lpstr>pivot table sales</vt:lpstr>
      <vt:lpstr>data raw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2026-10-07T16:34:33Z</dcterms:modified>
</cp:coreProperties>
</file>