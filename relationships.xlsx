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3D174F0B-BAC2-4E80-AB36-2485054063C0}" xr6:coauthVersionLast="47" xr6:coauthVersionMax="47" xr10:uidLastSave="{00000000-0000-0000-0000-000000000000}"/>
  <bookViews>
    <workbookView xWindow="11424" yWindow="0" windowWidth="11712" windowHeight="12336" tabRatio="705" firstSheet="10" activeTab="12"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Sheet1" sheetId="12" r:id="rId8"/>
    <sheet name="products" sheetId="11" r:id="rId9"/>
    <sheet name="dashboard" sheetId="9" r:id="rId10"/>
    <sheet name="pivot table sales" sheetId="8" r:id="rId11"/>
    <sheet name="data raw sales" sheetId="7" r:id="rId12"/>
    <sheet name="conditional" sheetId="13" r:id="rId13"/>
    <sheet name="Sheet3" sheetId="14" r:id="rId14"/>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5"/>
    <pivotCache cacheId="1"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3" l="1"/>
  <c r="D7" i="13"/>
  <c r="D8" i="13"/>
  <c r="D9" i="13"/>
  <c r="D5" i="13"/>
  <c r="C9" i="13"/>
  <c r="H42" i="7"/>
  <c r="A3" i="6"/>
  <c r="A4" i="6"/>
  <c r="A5" i="6"/>
  <c r="A6" i="6"/>
  <c r="A7" i="6"/>
  <c r="A8" i="6"/>
  <c r="I58" i="8"/>
  <c r="O58" i="8"/>
  <c r="E58" i="8"/>
  <c r="B58" i="8"/>
  <c r="L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<sst xmlns="http://schemas.openxmlformats.org/spreadsheetml/2006/main" count="265" uniqueCount="92">
  <si>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</si>
  <si>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</si>
  <si>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</si>
  <si>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</si>
  <si>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</si>
  <si>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</si>
  <si>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</si>
  <si>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</si>
  <si>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</si>
  <si>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</si>
  <si>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</si>
  <si>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</si>
  <si>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</si>
  <si>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</si>
  <si>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</si>
  <si>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</si>
  <si>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</si>
  <si>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</si>
  <si>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</si>
  <si>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</si>
  <si>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</si>
  <si>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</si>
  <si>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</si>
  <si>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</si>
  <si>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</si>
  <si>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</si>
  <si>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</si>
  <si>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</si>
  <si>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</si>
  <si>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</si>
  <si>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</si>
  <si>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</si>
  <si>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</si>
  <si>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</si>
  <si>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</si>
  <si>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</si>
  <si>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</si>
  <si>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</si>
  <si>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</si>
  <si>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</si>
  <si>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</si>
  <si>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</si>
  <si>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</si>
  <si>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</si>
  <si>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</si>
  <si>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</si>
  <si>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</si>
  <si>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</si>
  <si>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</si>
  <si>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</si>
  <si>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</si>
  <si>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</si>
  <si>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</si>
  <si>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</si>
  <si>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</si>
  <si>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</si>
  <si>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</si>
  <si>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</si>
  <si>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</si>
  <si>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</si>
  <si>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</si>
  <si>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</si>
  <si>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</si>
  <si>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</si>
  <si>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</si>
  <si>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</si>
  <si>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</si>
  <si>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</si>
  <si>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</si>
  <si>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</si>
  <si>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</si>
  <si>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</si>
  <si>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</si>
  <si>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</si>
  <si>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</si>
  <si>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</si>
  <si>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</si>
  <si>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</si>
  <si>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</si>
  <si>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</si>
  <si>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</si>
  <si>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</si>
  <si>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</si>
  <si>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</si>
  <si>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Average of Price</t>
  </si>
  <si>
    <t>tomobil</t>
  </si>
  <si>
    <t>kra</t>
  </si>
  <si>
    <t>9raya</t>
  </si>
  <si>
    <t>café</t>
  </si>
  <si>
    <t>expenses</t>
  </si>
  <si>
    <t>total</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</si>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</sst>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4" x14ac:knownFonts="1">
    <font>
      <sz val="11"/>
      <color theme="1"/>
      <name val="Aptos Narrow"/>
      <family val="2"/>
      <scheme val="minor"/>
    </font>
    <font>
      <b/>
      <sz val="11"/>
      <color theme="1"/>
      <name val="Aptos Narrow"/>
      <family val="2"/>
      <scheme val="minor"/>
    </font>
    <font>
      <sz val="20"/>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3" fillId="0" borderId="0" applyFont="0" applyFill="0" applyBorder="0" applyAlignment="0" applyProtection="0"/>
  </cellStyleXfs>
  <cellXfs count="28">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xf numFmtId="0" fontId="0" fillId="0" borderId="1" xfId="0" applyBorder="1" applyAlignment="1">
      <alignment horizontal="center"/>
    </xf>
    <xf numFmtId="164" fontId="0" fillId="0" borderId="1" xfId="0" applyNumberFormat="1" applyBorder="1" applyAlignment="1">
      <alignment horizontal="center"/>
    </xf>
    <xf numFmtId="9" fontId="0" fillId="0" borderId="1" xfId="1" applyFont="1" applyBorder="1" applyAlignment="1">
      <alignment horizontal="center"/>
    </xf>
    <xf numFmtId="0" fontId="0" fillId="0" borderId="1" xfId="0" applyFill="1" applyBorder="1" applyAlignment="1">
      <alignment horizontal="center"/>
    </xf>
    <xf numFmtId="0" fontId="0" fillId="2" borderId="1" xfId="0" applyFill="1" applyBorder="1" applyAlignment="1">
      <alignment horizontal="center"/>
    </xf>
  </cellXfs>
  <cellStyles count="2">
    <cellStyle name="Normal" xfId="0" builtinId="0"/>
    <cellStyle name="Percent" xfId="1" builtinId="5"/>
  </cellStyles>
  <dxfs count="58">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57"/>
    </tableStyle>
    <tableStyle name="lala" pivot="0" table="0" count="8" xr9:uid="{DD81CD64-2808-4CEA-9C01-4180B4801163}">
      <tableStyleElement type="wholeTable" dxfId="56"/>
      <tableStyleElement type="headerRow" dxfId="55"/>
    </tableStyle>
    <tableStyle name="lamina" pivot="0" table="0" count="1" xr9:uid="{D385192D-4717-4737-8E8C-886C505036D0}"/>
    <tableStyle name="lanini" pivot="0" table="0" count="2" xr9:uid="{40C6B56F-A003-4D3F-B525-E38E98C3907E}">
      <tableStyleElement type="wholeTable" dxfId="54"/>
    </tableStyle>
    <tableStyle name="Timeline Style 1" pivot="0" table="0" count="8" xr9:uid="{9B0A14E2-3CD1-4B19-8553-57CECB3028D8}">
      <tableStyleElement type="wholeTable" dxfId="53"/>
      <tableStyleElement type="headerRow" dxfId="52"/>
    </tableStyle>
    <tableStyle name="Timeline Style 2" pivot="0" table="0" count="8" xr9:uid="{49D621C8-D30B-4E29-85D1-6A8B15CAF539}">
      <tableStyleElement type="wholeTable" dxfId="51"/>
      <tableStyleElement type="headerRow" dxfId="50"/>
    </tableStyle>
    <tableStyle name="Timeline Style 3" pivot="0" table="0" count="8" xr9:uid="{258C9365-08EF-4D0A-89CD-E9F7EBD3F908}">
      <tableStyleElement type="wholeTable" dxfId="49"/>
      <tableStyleElement type="headerRow" dxfId="48"/>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11/relationships/timelineCache" Target="timelineCaches/timelineCach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connections" Target="connection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sales'!$D$5:$D$9</c:f>
              <c:strCache>
                <c:ptCount val="4"/>
                <c:pt idx="0">
                  <c:v>Ahmed Said</c:v>
                </c:pt>
                <c:pt idx="1">
                  <c:v>Ali Ramadan</c:v>
                </c:pt>
                <c:pt idx="2">
                  <c:v>Khaled Hassan</c:v>
                </c:pt>
                <c:pt idx="3">
                  <c:v>Tamer Mohamed</c:v>
                </c:pt>
              </c:strCache>
            </c:strRef>
          </c:cat>
          <c:val>
            <c:numRef>
              <c:f>'pivot table sales'!$E$5:$E$9</c:f>
              <c:numCache>
                <c:formatCode>General</c:formatCode>
                <c:ptCount val="4"/>
                <c:pt idx="0">
                  <c:v>1140</c:v>
                </c:pt>
                <c:pt idx="1">
                  <c:v>760</c:v>
                </c:pt>
                <c:pt idx="2">
                  <c:v>1140</c:v>
                </c:pt>
                <c:pt idx="3">
                  <c:v>190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Jan</c:v>
                </c:pt>
                <c:pt idx="1">
                  <c:v>Feb</c:v>
                </c:pt>
              </c:strCache>
            </c:strRef>
          </c:cat>
          <c:val>
            <c:numRef>
              <c:f>'pivot table sales'!$I$5:$I$7</c:f>
              <c:numCache>
                <c:formatCode>General</c:formatCode>
                <c:ptCount val="2"/>
                <c:pt idx="0">
                  <c:v>2850</c:v>
                </c:pt>
                <c:pt idx="1">
                  <c:v>380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1"/>
    </i>
    <i>
      <x v="2"/>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1"/>
    </i>
    <i>
      <x v="5"/>
    </i>
    <i>
      <x v="6"/>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167"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169"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i x="6"/>
        <i x="7" s="1"/>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47" headerRowBorderDxfId="46" tableBorderDxfId="45" totalsRowBorderDxfId="44">
  <autoFilter ref="A2:C8" xr:uid="{E9E678CC-A933-4146-A266-8561FE66B063}"/>
  <tableColumns count="3">
    <tableColumn id="1" xr3:uid="{F9EC0535-D2ED-4975-8C35-424457CA2DE6}" name="tradeid" dataDxfId="43"/>
    <tableColumn id="2" xr3:uid="{9B8BB1FC-668E-49CD-A8D7-420D207088F2}" name="pair" dataDxfId="42"/>
    <tableColumn id="3" xr3:uid="{5E681BDC-3DC3-4516-B864-5D0AE1542D9F}" name="profit" dataDxfId="4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40" headerRowBorderDxfId="39" tableBorderDxfId="38" totalsRowBorderDxfId="37">
  <autoFilter ref="A2:C6" xr:uid="{96F793BC-B311-4CDF-8DA7-E3AEA6D0D526}"/>
  <tableColumns count="3">
    <tableColumn id="1" xr3:uid="{68D02487-9EAC-4BB9-9D4A-0CE1E96851CB}" name="tradeid" dataDxfId="36"/>
    <tableColumn id="2" xr3:uid="{12D66D41-0E62-41A4-A2C5-9DF9CB0EA836}" name="name" dataDxfId="35"/>
    <tableColumn id="3" xr3:uid="{A9438FDE-5ADC-4819-BD3E-00588951190F}" name="lastname" dataDxfId="3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33" headerRowBorderDxfId="32" tableBorderDxfId="31" totalsRowBorderDxfId="30">
  <autoFilter ref="A2:D9" xr:uid="{2486897B-78D6-4FF7-8650-B8C9CDD52BAE}"/>
  <tableColumns count="4">
    <tableColumn id="1" xr3:uid="{777E8C10-BE98-4358-9481-1AB4CFB9A947}" name="clientid" dataDxfId="29"/>
    <tableColumn id="2" xr3:uid="{9A2DEB65-468F-480B-BEF5-AAF8ED365379}" name="name" dataDxfId="28"/>
    <tableColumn id="3" xr3:uid="{1B7491DC-0A23-4566-9F79-D44ECFF3B165}" name="lastname" dataDxfId="27"/>
    <tableColumn id="4" xr3:uid="{58765888-333D-4334-BE18-C549AC0D18CF}" name="country" dataDxfId="2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25" headerRowBorderDxfId="24" tableBorderDxfId="23" totalsRowBorderDxfId="22">
  <autoFilter ref="A3:C7" xr:uid="{C0EB578E-3BC9-41F0-B814-7E123E6A73E4}"/>
  <tableColumns count="3">
    <tableColumn id="1" xr3:uid="{FE9B4DCD-B79F-4AB2-B0AD-10867D1DB9EB}" name="productname" dataDxfId="21"/>
    <tableColumn id="2" xr3:uid="{D9CDEBC8-2AA4-4242-B5E9-CB8A496F4F5C}" name="price" dataDxfId="20"/>
    <tableColumn id="3" xr3:uid="{79BDE64B-CC2F-4093-A1AC-E9408397D3C3}" name="qte" dataDxfId="1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18" headerRowBorderDxfId="17" tableBorderDxfId="16" totalsRowBorderDxfId="15">
  <autoFilter ref="A2:C8" xr:uid="{4A9A0CE0-CDE1-4E4A-B9CB-B28BAE8443AB}"/>
  <tableColumns count="3">
    <tableColumn id="1" xr3:uid="{B6A7184C-BE63-4F0C-B6AE-738DB7257FFD}" name="date" dataDxfId="14">
      <calculatedColumnFormula>DATE(2026,10,5)</calculatedColumnFormula>
    </tableColumn>
    <tableColumn id="2" xr3:uid="{B4494D3F-AC50-4F95-AA82-23740AD1A282}" name="clientid" dataDxfId="13"/>
    <tableColumn id="3" xr3:uid="{CB7B7653-9379-419F-BB8E-37E09604FE44}" name="productname" dataDxfId="1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11"/>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0"/>
    <tableColumn id="8" xr3:uid="{ED0648F6-FD27-40AE-88F4-48D1D266766A}" name="Amount" dataDxfId="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H6" sqref="H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tabColor theme="9" tint="0.59999389629810485"/>
  </sheetPr>
  <dimension ref="A1"/>
  <sheetViews>
    <sheetView showGridLines="0" workbookViewId="0">
      <selection activeCell="V8" sqref="V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DE2DF-8E26-4662-AE67-8CA94C16532A}">
  <sheetPr>
    <tabColor theme="9" tint="0.59999389629810485"/>
  </sheetPr>
  <dimension ref="A1"/>
  <sheetViews>
    <sheetView zoomScaleNormal="100"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16" workbookViewId="0">
      <selection sqref="A1:E2"/>
    </sheetView>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50</v>
      </c>
      <c r="E5" s="12">
        <v>1140</v>
      </c>
      <c r="H5" s="11" t="s">
        <v>79</v>
      </c>
      <c r="I5" s="12">
        <v>2850</v>
      </c>
    </row>
    <row r="6" spans="1:9" x14ac:dyDescent="0.3">
      <c r="A6" s="11" t="s">
        <v>67</v>
      </c>
      <c r="B6" s="12">
        <v>3230</v>
      </c>
      <c r="D6" s="11" t="s">
        <v>53</v>
      </c>
      <c r="E6" s="12">
        <v>760</v>
      </c>
      <c r="H6" s="11" t="s">
        <v>80</v>
      </c>
      <c r="I6" s="12">
        <v>380</v>
      </c>
    </row>
    <row r="7" spans="1:9" x14ac:dyDescent="0.3">
      <c r="A7" s="11" t="s">
        <v>61</v>
      </c>
      <c r="B7" s="12">
        <v>306000</v>
      </c>
      <c r="D7" s="11" t="s">
        <v>60</v>
      </c>
      <c r="E7" s="12">
        <v>1140</v>
      </c>
      <c r="H7" s="11" t="s">
        <v>14</v>
      </c>
      <c r="I7" s="12">
        <v>3230</v>
      </c>
    </row>
    <row r="8" spans="1:9" x14ac:dyDescent="0.3">
      <c r="A8" s="11" t="s">
        <v>65</v>
      </c>
      <c r="B8" s="12">
        <v>12000</v>
      </c>
      <c r="D8" s="11" t="s">
        <v>59</v>
      </c>
      <c r="E8" s="12">
        <v>190</v>
      </c>
    </row>
    <row r="9" spans="1:9" x14ac:dyDescent="0.3">
      <c r="A9" s="11" t="s">
        <v>52</v>
      </c>
      <c r="B9" s="12">
        <v>4200</v>
      </c>
      <c r="D9" s="11" t="s">
        <v>14</v>
      </c>
      <c r="E9" s="12">
        <v>3230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83</v>
      </c>
      <c r="B13" s="12">
        <v>168</v>
      </c>
      <c r="H13" s="10" t="s">
        <v>70</v>
      </c>
      <c r="I13" t="s">
        <v>84</v>
      </c>
    </row>
    <row r="14" spans="1:9" x14ac:dyDescent="0.3">
      <c r="A14" s="11" t="s">
        <v>14</v>
      </c>
      <c r="B14" s="12">
        <v>426698</v>
      </c>
      <c r="H14" s="11" t="s">
        <v>67</v>
      </c>
      <c r="I14" s="12">
        <v>190</v>
      </c>
    </row>
    <row r="15" spans="1:9" x14ac:dyDescent="0.3">
      <c r="H15" s="11" t="s">
        <v>14</v>
      </c>
      <c r="I15" s="12">
        <v>190</v>
      </c>
    </row>
    <row r="18" spans="1:5" x14ac:dyDescent="0.3">
      <c r="A18" s="10" t="s">
        <v>70</v>
      </c>
      <c r="B18" t="s">
        <v>71</v>
      </c>
    </row>
    <row r="19" spans="1:5" x14ac:dyDescent="0.3">
      <c r="A19" s="11" t="s">
        <v>67</v>
      </c>
      <c r="B19" s="12">
        <v>5</v>
      </c>
    </row>
    <row r="20" spans="1:5" x14ac:dyDescent="0.3">
      <c r="A20" s="11" t="s">
        <v>14</v>
      </c>
      <c r="B20" s="12">
        <v>5</v>
      </c>
      <c r="D20" s="10" t="s">
        <v>69</v>
      </c>
      <c r="E20" t="s">
        <v>71</v>
      </c>
    </row>
    <row r="21" spans="1:5" x14ac:dyDescent="0.3">
      <c r="D21" s="11" t="s">
        <v>50</v>
      </c>
      <c r="E21" s="12">
        <v>1</v>
      </c>
    </row>
    <row r="22" spans="1:5" x14ac:dyDescent="0.3">
      <c r="D22" s="11" t="s">
        <v>53</v>
      </c>
      <c r="E22" s="12">
        <v>1</v>
      </c>
    </row>
    <row r="23" spans="1:5" x14ac:dyDescent="0.3">
      <c r="D23" s="11" t="s">
        <v>60</v>
      </c>
      <c r="E23" s="12">
        <v>2</v>
      </c>
    </row>
    <row r="24" spans="1:5" x14ac:dyDescent="0.3">
      <c r="D24" s="11" t="s">
        <v>59</v>
      </c>
      <c r="E24" s="12">
        <v>1</v>
      </c>
    </row>
    <row r="25" spans="1:5" x14ac:dyDescent="0.3">
      <c r="D25" s="11" t="s">
        <v>14</v>
      </c>
      <c r="E25" s="12">
        <v>5</v>
      </c>
    </row>
    <row r="35" spans="1:5" x14ac:dyDescent="0.3">
      <c r="A35" s="10" t="s">
        <v>70</v>
      </c>
      <c r="B35" t="s">
        <v>68</v>
      </c>
      <c r="D35" s="10" t="s">
        <v>69</v>
      </c>
      <c r="E35" t="s">
        <v>68</v>
      </c>
    </row>
    <row r="36" spans="1:5" x14ac:dyDescent="0.3">
      <c r="A36" s="11" t="s">
        <v>61</v>
      </c>
      <c r="B36" s="12">
        <v>306000</v>
      </c>
      <c r="D36" s="11" t="s">
        <v>60</v>
      </c>
      <c r="E36" s="12">
        <v>1140</v>
      </c>
    </row>
    <row r="37" spans="1:5" x14ac:dyDescent="0.3">
      <c r="A37" s="11" t="s">
        <v>57</v>
      </c>
      <c r="B37" s="12">
        <v>79800</v>
      </c>
      <c r="D37" s="11" t="s">
        <v>53</v>
      </c>
      <c r="E37" s="12">
        <v>760</v>
      </c>
    </row>
    <row r="38" spans="1:5" x14ac:dyDescent="0.3">
      <c r="A38" s="11" t="s">
        <v>65</v>
      </c>
      <c r="B38" s="12">
        <v>12000</v>
      </c>
      <c r="D38" s="11" t="s">
        <v>50</v>
      </c>
      <c r="E38" s="12">
        <v>1140</v>
      </c>
    </row>
    <row r="39" spans="1:5" x14ac:dyDescent="0.3">
      <c r="A39" s="11" t="s">
        <v>14</v>
      </c>
      <c r="B39" s="12">
        <v>397800</v>
      </c>
      <c r="D39" s="11" t="s">
        <v>14</v>
      </c>
      <c r="E39" s="12">
        <v>3040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3230</v>
      </c>
      <c r="B58" s="20">
        <f>GETPIVOTDATA("Amount",$A$57)</f>
        <v>3230</v>
      </c>
      <c r="D58" s="12">
        <v>5</v>
      </c>
      <c r="E58" s="20">
        <f>GETPIVOTDATA("Amount",$D$57)</f>
        <v>5</v>
      </c>
      <c r="H58" s="12">
        <v>646</v>
      </c>
      <c r="I58" s="20">
        <f>GETPIVOTDATA("Amount",$H$57)</f>
        <v>646</v>
      </c>
      <c r="K58" s="12">
        <v>1140</v>
      </c>
      <c r="L58" s="20">
        <f>GETPIVOTDATA("Amount",$K$57)</f>
        <v>1140</v>
      </c>
      <c r="N58" s="12">
        <v>190</v>
      </c>
      <c r="O58" s="20">
        <f>GETPIVOTDATA("Amount",$N$57)</f>
        <v>190</v>
      </c>
    </row>
  </sheetData>
  <mergeCells count="2">
    <mergeCell ref="A53:O54"/>
    <mergeCell ref="A1:E2"/>
  </mergeCells>
  <pageMargins left="0.7" right="0.7" top="0.75" bottom="0.75" header="0.3" footer="0.3"/>
  <drawing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EF884-2252-4957-9E46-FE7F24E6BB84}">
  <dimension ref="B4:D9"/>
  <sheetViews>
    <sheetView tabSelected="1" workbookViewId="0">
      <selection activeCell="D5" sqref="D5:D8"/>
    </sheetView>
  </sheetViews>
  <sheetFormatPr defaultRowHeight="14.4" x14ac:dyDescent="0.3"/>
  <cols>
    <col min="1" max="1" width="11.88671875" customWidth="1"/>
    <col min="2" max="2" width="12.6640625" customWidth="1"/>
    <col min="3" max="3" width="14.77734375" customWidth="1"/>
    <col min="4" max="4" width="14.109375" customWidth="1"/>
  </cols>
  <sheetData>
    <row r="4" spans="2:4" x14ac:dyDescent="0.3">
      <c r="B4" s="27"/>
      <c r="C4" s="27" t="s">
        <v>89</v>
      </c>
      <c r="D4" s="27" t="s">
        <v>91</v>
      </c>
    </row>
    <row r="5" spans="2:4" x14ac:dyDescent="0.3">
      <c r="B5" s="23" t="s">
        <v>85</v>
      </c>
      <c r="C5" s="24">
        <v>1400</v>
      </c>
      <c r="D5" s="25">
        <f>C5/$C$9</f>
        <v>0.85470085470085466</v>
      </c>
    </row>
    <row r="6" spans="2:4" x14ac:dyDescent="0.3">
      <c r="B6" s="23" t="s">
        <v>86</v>
      </c>
      <c r="C6" s="24">
        <v>78</v>
      </c>
      <c r="D6" s="25">
        <f t="shared" ref="D6:D9" si="0">C6/$C$9</f>
        <v>4.7619047619047616E-2</v>
      </c>
    </row>
    <row r="7" spans="2:4" x14ac:dyDescent="0.3">
      <c r="B7" s="23" t="s">
        <v>87</v>
      </c>
      <c r="C7" s="24">
        <v>90</v>
      </c>
      <c r="D7" s="25">
        <f t="shared" si="0"/>
        <v>5.4945054945054944E-2</v>
      </c>
    </row>
    <row r="8" spans="2:4" x14ac:dyDescent="0.3">
      <c r="B8" s="23" t="s">
        <v>88</v>
      </c>
      <c r="C8" s="24">
        <v>70</v>
      </c>
      <c r="D8" s="25">
        <f t="shared" si="0"/>
        <v>4.2735042735042736E-2</v>
      </c>
    </row>
    <row r="9" spans="2:4" x14ac:dyDescent="0.3">
      <c r="B9" s="26" t="s">
        <v>90</v>
      </c>
      <c r="C9" s="24">
        <f>SUM(C5:C8)</f>
        <v>1638</v>
      </c>
      <c r="D9" s="23">
        <f t="shared" si="0"/>
        <v>1</v>
      </c>
    </row>
  </sheetData>
  <conditionalFormatting sqref="C5:C8">
    <cfRule type="cellIs" dxfId="5" priority="4" operator="greaterThan">
      <formula>100</formula>
    </cfRule>
    <cfRule type="cellIs" dxfId="4" priority="3" operator="lessThan">
      <formula>100</formula>
    </cfRule>
    <cfRule type="cellIs" dxfId="3" priority="2" operator="lessThan">
      <formula>50</formula>
    </cfRule>
  </conditionalFormatting>
  <conditionalFormatting sqref="D5:D8">
    <cfRule type="dataBar" priority="1">
      <dataBar>
        <cfvo type="min"/>
        <cfvo type="max"/>
        <color rgb="FF63C384"/>
      </dataBar>
      <extLst>
        <ext xmlns:x14="http://schemas.microsoft.com/office/spreadsheetml/2009/9/main" uri="{B025F937-C7B1-47D3-B67F-A62EFF666E3E}">
          <x14:id>{D15C93C4-B224-43F6-98DF-CADB3CDFB6D4}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15C93C4-B224-43F6-98DF-CADB3CDFB6D4}">
            <x14:dataBar minLength="0" maxLength="100" gradient="0">
              <x14:cfvo type="autoMin"/>
              <x14:cfvo type="autoMax"/>
              <x14:negativeFillColor rgb="FFFF0000"/>
              <x14:axisColor rgb="FF000000"/>
            </x14:dataBar>
          </x14:cfRule>
          <xm:sqref>D5:D8</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60FE4-F00B-47C1-AD31-6530E807C44C}">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9D16D73-DF80-4591-8AB4-5AF50CD0432F}">
  <ds:schemaRefs/>
</ds:datastoreItem>
</file>

<file path=customXml/itemProps2.xml><?xml version="1.0" encoding="utf-8"?>
<ds:datastoreItem xmlns:ds="http://schemas.openxmlformats.org/officeDocument/2006/customXml" ds:itemID="{AEAAFECA-2DE4-4B02-AD25-A0FB5A56E772}">
  <ds:schemaRefs/>
</ds:datastoreItem>
</file>

<file path=customXml/itemProps3.xml><?xml version="1.0" encoding="utf-8"?>
<ds:datastoreItem xmlns:ds="http://schemas.openxmlformats.org/officeDocument/2006/customXml" ds:itemID="{E3BFA8F2-3794-431F-9EB3-21512B27BFD5}">
  <ds:schemaRefs/>
</ds:datastoreItem>
</file>

<file path=customXml/itemProps4.xml><?xml version="1.0" encoding="utf-8"?>
<ds:datastoreItem xmlns:ds="http://schemas.openxmlformats.org/officeDocument/2006/customXml" ds:itemID="{1726B34E-27E4-44AF-B32B-538A89F891D7}">
  <ds:schemaRefs/>
</ds:datastoreItem>
</file>

<file path=customXml/itemProps5.xml><?xml version="1.0" encoding="utf-8"?>
<ds:datastoreItem xmlns:ds="http://schemas.openxmlformats.org/officeDocument/2006/customXml" ds:itemID="{F983B97C-63D1-4E74-B3D4-7D94D857A850}">
  <ds:schemaRefs/>
</ds:datastoreItem>
</file>

<file path=customXml/itemProps6.xml><?xml version="1.0" encoding="utf-8"?>
<ds:datastoreItem xmlns:ds="http://schemas.openxmlformats.org/officeDocument/2006/customXml" ds:itemID="{B395E832-2FB1-4FCC-8347-BC626FE079C4}">
  <ds:schemaRefs/>
</ds:datastoreItem>
</file>

<file path=customXml/itemProps7.xml><?xml version="1.0" encoding="utf-8"?>
<ds:datastoreItem xmlns:ds="http://schemas.openxmlformats.org/officeDocument/2006/customXml" ds:itemID="{38E109C5-2E84-4F87-B114-B2909FDD7E92}">
  <ds:schemaRefs/>
</ds:datastoreItem>
</file>

<file path=customXml/itemProps8.xml><?xml version="1.0" encoding="utf-8"?>
<ds:datastoreItem xmlns:ds="http://schemas.openxmlformats.org/officeDocument/2006/customXml" ds:itemID="{7EBAD9F7-20F9-4DD8-B5A1-D8BE043A97CF}">
  <ds:schemaRefs/>
</ds:datastoreItem>
</file>

<file path=customXml/itemProps9.xml><?xml version="1.0" encoding="utf-8"?>
<ds:datastoreItem xmlns:ds="http://schemas.openxmlformats.org/officeDocument/2006/customXml" ds:itemID="{AD81E317-133D-4269-AD8E-F0B60817F787}">
  <ds:schemaRefs/>
</ds:datastoreItem>
</file>

<file path=customXml/itemProps10.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1.xml><?xml version="1.0" encoding="utf-8"?>
<ds:datastoreItem xmlns:ds="http://schemas.openxmlformats.org/officeDocument/2006/customXml" ds:itemID="{BC246F50-D6F7-44C6-B8B9-1DFA91E983AB}">
  <ds:schemaRefs/>
</ds:datastoreItem>
</file>

<file path=customXml/itemProps12.xml><?xml version="1.0" encoding="utf-8"?>
<ds:datastoreItem xmlns:ds="http://schemas.openxmlformats.org/officeDocument/2006/customXml" ds:itemID="{9AFCE036-CB70-4BEA-9D4F-DEFD2F183AF4}">
  <ds:schemaRefs/>
</ds:datastoreItem>
</file>

<file path=customXml/itemProps13.xml><?xml version="1.0" encoding="utf-8"?>
<ds:datastoreItem xmlns:ds="http://schemas.openxmlformats.org/officeDocument/2006/customXml" ds:itemID="{0C683F7F-38FA-452A-B137-2BE4C456C086}">
  <ds:schemaRefs/>
</ds:datastoreItem>
</file>

<file path=customXml/itemProps14.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5.xml><?xml version="1.0" encoding="utf-8"?>
<ds:datastoreItem xmlns:ds="http://schemas.openxmlformats.org/officeDocument/2006/customXml" ds:itemID="{EA216088-64F2-4B38-88C8-2BB51C84CDE2}">
  <ds:schemaRefs/>
</ds:datastoreItem>
</file>

<file path=customXml/itemProps16.xml><?xml version="1.0" encoding="utf-8"?>
<ds:datastoreItem xmlns:ds="http://schemas.openxmlformats.org/officeDocument/2006/customXml" ds:itemID="{009A43EF-AB09-4DF7-BCBD-BD0B054FA1A7}">
  <ds:schemaRefs/>
</ds:datastoreItem>
</file>

<file path=customXml/itemProps17.xml><?xml version="1.0" encoding="utf-8"?>
<ds:datastoreItem xmlns:ds="http://schemas.openxmlformats.org/officeDocument/2006/customXml" ds:itemID="{8D614C0A-C1D5-4131-B799-8087D62F9D8C}">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0092E684-A59A-4104-A123-0A01CF8CC963}">
  <ds:schemaRefs/>
</ds:datastoreItem>
</file>

<file path=customXml/itemProps20.xml><?xml version="1.0" encoding="utf-8"?>
<ds:datastoreItem xmlns:ds="http://schemas.openxmlformats.org/officeDocument/2006/customXml" ds:itemID="{2602C3D6-1CC3-4E3C-9976-E98BBA07608A}">
  <ds:schemaRefs/>
</ds:datastoreItem>
</file>

<file path=customXml/itemProps21.xml><?xml version="1.0" encoding="utf-8"?>
<ds:datastoreItem xmlns:ds="http://schemas.openxmlformats.org/officeDocument/2006/customXml" ds:itemID="{62B2A0ED-C6CC-4EFC-AA6E-CE4344ECBA17}">
  <ds:schemaRefs/>
</ds:datastoreItem>
</file>

<file path=customXml/itemProps22.xml><?xml version="1.0" encoding="utf-8"?>
<ds:datastoreItem xmlns:ds="http://schemas.openxmlformats.org/officeDocument/2006/customXml" ds:itemID="{B51FFAB7-8A72-460A-905A-E4369F52DD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pivot table</vt:lpstr>
      <vt:lpstr>trades</vt:lpstr>
      <vt:lpstr>traders</vt:lpstr>
      <vt:lpstr>client </vt:lpstr>
      <vt:lpstr>productname</vt:lpstr>
      <vt:lpstr>invoice</vt:lpstr>
      <vt:lpstr>salesman</vt:lpstr>
      <vt:lpstr>Sheet1</vt:lpstr>
      <vt:lpstr>products</vt:lpstr>
      <vt:lpstr>dashboard</vt:lpstr>
      <vt:lpstr>pivot table sales</vt:lpstr>
      <vt:lpstr>data raw sales</vt:lpstr>
      <vt:lpstr>conditional</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2026-10-12T16:19:45Z</dcterms:modified>
</cp:coreProperties>
</file>