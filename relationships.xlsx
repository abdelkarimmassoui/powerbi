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7F1176A3-0178-4158-88B5-ED9E9321EF29}" xr6:coauthVersionLast="47" xr6:coauthVersionMax="47" xr10:uidLastSave="{00000000-0000-0000-0000-000000000000}"/>
  <bookViews>
    <workbookView xWindow="-108" yWindow="-108" windowWidth="23256" windowHeight="12456" tabRatio="705" firstSheet="10" activeTab="12"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3" l="1"/>
  <c r="D7" i="13"/>
  <c r="D8" i="13"/>
  <c r="D9" i="13"/>
  <c r="D5" i="13"/>
  <c r="C9" i="13"/>
  <c r="H42" i="7"/>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<sst xmlns="http://schemas.openxmlformats.org/spreadsheetml/2006/main" count="266" uniqueCount="93">
  <si>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</si>
  <si>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</si>
  <si>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</si>
  <si>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</si>
  <si>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</si>
  <si>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</si>
  <si>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</si>
  <si>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</si>
  <si>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</si>
  <si>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</si>
  <si>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</si>
  <si>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</si>
  <si>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</si>
  <si>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</si>
  <si>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</si>
  <si>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</si>
  <si>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</si>
  <si>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</si>
  <si>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</si>
  <si>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</si>
  <si>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</si>
  <si>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</si>
  <si>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</si>
  <si>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</si>
  <si>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</si>
  <si>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</si>
  <si>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</si>
  <si>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</si>
  <si>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</si>
  <si>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</si>
  <si>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</si>
  <si>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</si>
  <si>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</si>
  <si>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</si>
  <si>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</si>
  <si>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</si>
  <si>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</si>
  <si>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</si>
  <si>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</si>
  <si>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</si>
  <si>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</si>
  <si>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</si>
  <si>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</si>
  <si>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</si>
  <si>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</si>
  <si>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</si>
  <si>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</si>
  <si>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</si>
  <si>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</si>
  <si>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</si>
  <si>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</si>
  <si>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</si>
  <si>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</si>
  <si>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</si>
  <si>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</si>
  <si>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</si>
  <si>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</si>
  <si>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</si>
  <si>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</si>
  <si>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</si>
  <si>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</si>
  <si>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</si>
  <si>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</si>
  <si>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</si>
  <si>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</si>
  <si>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</si>
  <si>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</si>
  <si>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</si>
  <si>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</si>
  <si>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</si>
  <si>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</si>
  <si>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</si>
  <si>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</si>
  <si>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</si>
  <si>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</si>
  <si>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</si>
  <si>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</si>
  <si>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</si>
  <si>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</si>
  <si>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</si>
  <si>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</si>
  <si>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</si>
  <si>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</si>
  <si>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</si>
  <si>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</si>
  <si>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</si>
  <si>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</si>
  <si>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</si>
  <si>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</si>
  <si>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</si>
  <si>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</si>
  <si>
    <t>%</t>
  </si>
  <si>
    <t>hhj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</si>
</sst>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Aptos Narrow"/>
      <family val="2"/>
      <scheme val="minor"/>
    </font>
    <font>
      <b/>
      <sz val="11"/>
      <color theme="1"/>
      <name val="Aptos Narrow"/>
      <family val="2"/>
      <scheme val="minor"/>
    </font>
    <font>
      <sz val="20"/>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3" tint="0.8999908444471571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s>
  <cellStyleXfs count="2">
    <xf numFmtId="0" fontId="0" fillId="0" borderId="0"/>
    <xf numFmtId="9" fontId="3" fillId="0" borderId="0" applyFont="0" applyFill="0" applyBorder="0" applyAlignment="0" applyProtection="0"/>
  </cellStyleXfs>
  <cellXfs count="39">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0" fillId="0" borderId="1" xfId="0" applyBorder="1" applyAlignment="1">
      <alignment horizontal="center"/>
    </xf>
    <xf numFmtId="164" fontId="0" fillId="0" borderId="1" xfId="0" applyNumberFormat="1" applyBorder="1" applyAlignment="1">
      <alignment horizontal="center"/>
    </xf>
    <xf numFmtId="9" fontId="0" fillId="0" borderId="1" xfId="1" applyFont="1" applyBorder="1" applyAlignment="1">
      <alignment horizontal="center"/>
    </xf>
    <xf numFmtId="0" fontId="0" fillId="0" borderId="1" xfId="0" applyFill="1" applyBorder="1" applyAlignment="1">
      <alignment horizontal="center"/>
    </xf>
    <xf numFmtId="0" fontId="0" fillId="2" borderId="1" xfId="0" applyFill="1" applyBorder="1" applyAlignment="1">
      <alignment horizontal="center"/>
    </xf>
    <xf numFmtId="9" fontId="0" fillId="0" borderId="0" xfId="1" applyFont="1" applyFill="1" applyBorder="1" applyAlignment="1">
      <alignment horizontal="center"/>
    </xf>
    <xf numFmtId="0" fontId="2" fillId="2" borderId="0" xfId="0" applyFont="1" applyFill="1" applyAlignment="1">
      <alignment horizontal="center" vertical="center"/>
    </xf>
    <xf numFmtId="0" fontId="0" fillId="2" borderId="0" xfId="0" applyFill="1" applyAlignment="1">
      <alignment horizontal="center" vertical="center"/>
    </xf>
    <xf numFmtId="0" fontId="0" fillId="2" borderId="1" xfId="0" applyFill="1" applyBorder="1"/>
    <xf numFmtId="0" fontId="0" fillId="0" borderId="0" xfId="0" applyAlignment="1">
      <alignment horizontal="center"/>
    </xf>
    <xf numFmtId="0" fontId="0" fillId="0" borderId="0" xfId="0" applyAlignment="1">
      <alignment horizontal="center"/>
    </xf>
    <xf numFmtId="0" fontId="0" fillId="2" borderId="3" xfId="0" applyFill="1" applyBorder="1"/>
    <xf numFmtId="0" fontId="0" fillId="3" borderId="0" xfId="0" applyFill="1" applyAlignment="1">
      <alignment horizontal="center"/>
    </xf>
    <xf numFmtId="0" fontId="0" fillId="4" borderId="0" xfId="0" applyFill="1" applyAlignment="1">
      <alignment horizontal="center"/>
    </xf>
    <xf numFmtId="0" fontId="0" fillId="5" borderId="3" xfId="0" applyFill="1" applyBorder="1" applyAlignment="1">
      <alignment horizontal="center" vertical="center"/>
    </xf>
    <xf numFmtId="0" fontId="0" fillId="5" borderId="10" xfId="0" applyFill="1" applyBorder="1" applyAlignment="1">
      <alignment horizontal="center" vertical="center"/>
    </xf>
    <xf numFmtId="0" fontId="0" fillId="5" borderId="2" xfId="0" applyFill="1" applyBorder="1" applyAlignment="1">
      <alignment horizontal="center" vertical="center"/>
    </xf>
    <xf numFmtId="0" fontId="0" fillId="0" borderId="0" xfId="0" applyAlignment="1">
      <alignment horizontal="center" vertical="center"/>
    </xf>
  </cellXfs>
  <cellStyles count="2">
    <cellStyle name="Normal" xfId="0" builtinId="0"/>
    <cellStyle name="Percent" xfId="1" builtinId="5"/>
  </cellStyles>
  <dxfs count="54">
    <dxf>
      <fill>
        <patternFill>
          <bgColor rgb="FFFFFF00"/>
        </patternFill>
      </fill>
    </dxf>
    <dxf>
      <fill>
        <patternFill>
          <bgColor rgb="FF92D050"/>
        </patternFill>
      </fill>
    </dxf>
    <dxf>
      <fill>
        <patternFill>
          <bgColor theme="5" tint="-0.24994659260841701"/>
        </patternFill>
      </fill>
    </dxf>
    <dxf>
      <fill>
        <patternFill>
          <bgColor theme="5" tint="-0.24994659260841701"/>
        </patternFill>
      </fill>
    </dxf>
    <dxf>
      <fill>
        <patternFill>
          <bgColor theme="5" tint="-0.24994659260841701"/>
        </patternFill>
      </fill>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53"/>
    </tableStyle>
    <tableStyle name="lala" pivot="0" table="0" count="8" xr9:uid="{DD81CD64-2808-4CEA-9C01-4180B4801163}">
      <tableStyleElement type="wholeTable" dxfId="52"/>
      <tableStyleElement type="headerRow" dxfId="51"/>
    </tableStyle>
    <tableStyle name="lamina" pivot="0" table="0" count="1" xr9:uid="{D385192D-4717-4737-8E8C-886C505036D0}"/>
    <tableStyle name="lanini" pivot="0" table="0" count="2" xr9:uid="{40C6B56F-A003-4D3F-B525-E38E98C3907E}">
      <tableStyleElement type="wholeTable" dxfId="50"/>
    </tableStyle>
    <tableStyle name="Timeline Style 1" pivot="0" table="0" count="8" xr9:uid="{9B0A14E2-3CD1-4B19-8553-57CECB3028D8}">
      <tableStyleElement type="wholeTable" dxfId="49"/>
      <tableStyleElement type="headerRow" dxfId="48"/>
    </tableStyle>
    <tableStyle name="Timeline Style 2" pivot="0" table="0" count="8" xr9:uid="{49D621C8-D30B-4E29-85D1-6A8B15CAF539}">
      <tableStyleElement type="wholeTable" dxfId="47"/>
      <tableStyleElement type="headerRow" dxfId="46"/>
    </tableStyle>
    <tableStyle name="Timeline Style 3" pivot="0" table="0" count="8" xr9:uid="{258C9365-08EF-4D0A-89CD-E9F7EBD3F908}">
      <tableStyleElement type="wholeTable" dxfId="45"/>
      <tableStyleElement type="headerRow" dxfId="44"/>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3" headerRowBorderDxfId="42" tableBorderDxfId="41" totalsRowBorderDxfId="40">
  <autoFilter ref="A2:C8" xr:uid="{E9E678CC-A933-4146-A266-8561FE66B063}"/>
  <tableColumns count="3">
    <tableColumn id="1" xr3:uid="{F9EC0535-D2ED-4975-8C35-424457CA2DE6}" name="tradeid" dataDxfId="39"/>
    <tableColumn id="2" xr3:uid="{9B8BB1FC-668E-49CD-A8D7-420D207088F2}" name="pair" dataDxfId="38"/>
    <tableColumn id="3" xr3:uid="{5E681BDC-3DC3-4516-B864-5D0AE1542D9F}" name="profit" dataDxfId="3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6" headerRowBorderDxfId="35" tableBorderDxfId="34" totalsRowBorderDxfId="33">
  <autoFilter ref="A2:C6" xr:uid="{96F793BC-B311-4CDF-8DA7-E3AEA6D0D526}"/>
  <tableColumns count="3">
    <tableColumn id="1" xr3:uid="{68D02487-9EAC-4BB9-9D4A-0CE1E96851CB}" name="tradeid" dataDxfId="32"/>
    <tableColumn id="2" xr3:uid="{12D66D41-0E62-41A4-A2C5-9DF9CB0EA836}" name="name" dataDxfId="31"/>
    <tableColumn id="3" xr3:uid="{A9438FDE-5ADC-4819-BD3E-00588951190F}" name="lastnam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9" headerRowBorderDxfId="28" tableBorderDxfId="27" totalsRowBorderDxfId="26">
  <autoFilter ref="A2:D9" xr:uid="{2486897B-78D6-4FF7-8650-B8C9CDD52BAE}"/>
  <tableColumns count="4">
    <tableColumn id="1" xr3:uid="{777E8C10-BE98-4358-9481-1AB4CFB9A947}" name="clientid" dataDxfId="25"/>
    <tableColumn id="2" xr3:uid="{9A2DEB65-468F-480B-BEF5-AAF8ED365379}" name="name" dataDxfId="24"/>
    <tableColumn id="3" xr3:uid="{1B7491DC-0A23-4566-9F79-D44ECFF3B165}" name="lastname" dataDxfId="23"/>
    <tableColumn id="4" xr3:uid="{58765888-333D-4334-BE18-C549AC0D18CF}" name="country" dataDxfId="2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21" headerRowBorderDxfId="20" tableBorderDxfId="19" totalsRowBorderDxfId="18">
  <autoFilter ref="A3:C7" xr:uid="{C0EB578E-3BC9-41F0-B814-7E123E6A73E4}"/>
  <tableColumns count="3">
    <tableColumn id="1" xr3:uid="{FE9B4DCD-B79F-4AB2-B0AD-10867D1DB9EB}" name="productname" dataDxfId="17"/>
    <tableColumn id="2" xr3:uid="{D9CDEBC8-2AA4-4242-B5E9-CB8A496F4F5C}" name="price" dataDxfId="16"/>
    <tableColumn id="3" xr3:uid="{79BDE64B-CC2F-4093-A1AC-E9408397D3C3}" name="qte" dataDxfId="1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4" headerRowBorderDxfId="13" tableBorderDxfId="12" totalsRowBorderDxfId="11">
  <autoFilter ref="A2:C8" xr:uid="{4A9A0CE0-CDE1-4E4A-B9CB-B28BAE8443AB}"/>
  <tableColumns count="3">
    <tableColumn id="1" xr3:uid="{B6A7184C-BE63-4F0C-B6AE-738DB7257FFD}" name="date" dataDxfId="10">
      <calculatedColumnFormula>DATE(2026,10,5)</calculatedColumnFormula>
    </tableColumn>
    <tableColumn id="2" xr3:uid="{B4494D3F-AC50-4F95-AA82-23740AD1A282}" name="clientid" dataDxfId="9"/>
    <tableColumn id="3" xr3:uid="{CB7B7653-9379-419F-BB8E-37E09604FE44}" name="productname" dataDxfId="8"/>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7"/>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6"/>
    <tableColumn id="8" xr3:uid="{ED0648F6-FD27-40AE-88F4-48D1D266766A}" name="Amount"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activeCell="E41" sqref="E41"/>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8" t="s">
        <v>78</v>
      </c>
      <c r="B1" s="28"/>
      <c r="C1" s="28"/>
      <c r="D1" s="28"/>
      <c r="E1" s="28"/>
    </row>
    <row r="2" spans="1:9" x14ac:dyDescent="0.3">
      <c r="A2" s="28"/>
      <c r="B2" s="28"/>
      <c r="C2" s="28"/>
      <c r="D2" s="28"/>
      <c r="E2" s="28"/>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7" t="s">
        <v>77</v>
      </c>
      <c r="B53" s="27"/>
      <c r="C53" s="27"/>
      <c r="D53" s="27"/>
      <c r="E53" s="27"/>
      <c r="F53" s="27"/>
      <c r="G53" s="27"/>
      <c r="H53" s="27"/>
      <c r="I53" s="27"/>
      <c r="J53" s="27"/>
      <c r="K53" s="27"/>
      <c r="L53" s="27"/>
      <c r="M53" s="27"/>
      <c r="N53" s="27"/>
      <c r="O53" s="27"/>
    </row>
    <row r="54" spans="1:15" x14ac:dyDescent="0.3">
      <c r="A54" s="27"/>
      <c r="B54" s="27"/>
      <c r="C54" s="27"/>
      <c r="D54" s="27"/>
      <c r="E54" s="27"/>
      <c r="F54" s="27"/>
      <c r="G54" s="27"/>
      <c r="H54" s="27"/>
      <c r="I54" s="27"/>
      <c r="J54" s="27"/>
      <c r="K54" s="27"/>
      <c r="L54" s="27"/>
      <c r="M54" s="27"/>
      <c r="N54" s="27"/>
      <c r="O54" s="27"/>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N19"/>
  <sheetViews>
    <sheetView tabSelected="1" workbookViewId="0">
      <selection activeCell="M22" sqref="M22"/>
    </sheetView>
  </sheetViews>
  <sheetFormatPr defaultRowHeight="14.4" x14ac:dyDescent="0.3"/>
  <cols>
    <col min="1" max="1" width="11.88671875" customWidth="1"/>
    <col min="2" max="2" width="12.6640625" customWidth="1"/>
    <col min="3" max="3" width="14.77734375" customWidth="1"/>
    <col min="4" max="4" width="14.109375" customWidth="1"/>
  </cols>
  <sheetData>
    <row r="4" spans="2:14" x14ac:dyDescent="0.3">
      <c r="B4" s="25"/>
      <c r="C4" s="25" t="s">
        <v>89</v>
      </c>
      <c r="D4" s="25" t="s">
        <v>91</v>
      </c>
    </row>
    <row r="5" spans="2:14" x14ac:dyDescent="0.3">
      <c r="B5" s="21" t="s">
        <v>85</v>
      </c>
      <c r="C5" s="22">
        <v>1400</v>
      </c>
      <c r="D5" s="23">
        <f>C5/$C$9</f>
        <v>0.85470085470085466</v>
      </c>
      <c r="G5" s="33">
        <v>10</v>
      </c>
    </row>
    <row r="6" spans="2:14" x14ac:dyDescent="0.3">
      <c r="B6" s="21" t="s">
        <v>86</v>
      </c>
      <c r="C6" s="22">
        <v>78</v>
      </c>
      <c r="D6" s="23">
        <f t="shared" ref="D6:D9" si="0">C6/$C$9</f>
        <v>4.7619047619047616E-2</v>
      </c>
      <c r="G6" s="33">
        <v>9</v>
      </c>
    </row>
    <row r="7" spans="2:14" x14ac:dyDescent="0.3">
      <c r="B7" s="21" t="s">
        <v>87</v>
      </c>
      <c r="C7" s="22">
        <v>90</v>
      </c>
      <c r="D7" s="23">
        <f t="shared" si="0"/>
        <v>5.4945054945054944E-2</v>
      </c>
      <c r="G7" s="33">
        <v>8</v>
      </c>
    </row>
    <row r="8" spans="2:14" x14ac:dyDescent="0.3">
      <c r="B8" s="21" t="s">
        <v>88</v>
      </c>
      <c r="C8" s="22">
        <v>70</v>
      </c>
      <c r="D8" s="23">
        <f t="shared" si="0"/>
        <v>4.2735042735042736E-2</v>
      </c>
      <c r="G8" s="33">
        <v>7</v>
      </c>
    </row>
    <row r="9" spans="2:14" x14ac:dyDescent="0.3">
      <c r="B9" s="24" t="s">
        <v>90</v>
      </c>
      <c r="C9" s="22">
        <f>SUM(C5:C8)</f>
        <v>1638</v>
      </c>
      <c r="D9" s="21">
        <f t="shared" si="0"/>
        <v>1</v>
      </c>
      <c r="G9" s="33">
        <v>6</v>
      </c>
    </row>
    <row r="10" spans="2:14" x14ac:dyDescent="0.3">
      <c r="G10" s="33">
        <v>5</v>
      </c>
    </row>
    <row r="11" spans="2:14" x14ac:dyDescent="0.3">
      <c r="D11" s="26"/>
      <c r="G11" s="33">
        <v>5</v>
      </c>
    </row>
    <row r="12" spans="2:14" x14ac:dyDescent="0.3">
      <c r="G12" s="33">
        <v>4</v>
      </c>
    </row>
    <row r="13" spans="2:14" x14ac:dyDescent="0.3">
      <c r="G13" s="33">
        <v>3</v>
      </c>
      <c r="I13" s="34">
        <v>10</v>
      </c>
    </row>
    <row r="14" spans="2:14" x14ac:dyDescent="0.3">
      <c r="G14" s="33">
        <v>2</v>
      </c>
      <c r="I14" s="34">
        <v>5</v>
      </c>
    </row>
    <row r="15" spans="2:14" x14ac:dyDescent="0.3">
      <c r="G15" s="33">
        <v>1</v>
      </c>
      <c r="I15" s="34">
        <v>1</v>
      </c>
      <c r="K15" s="35">
        <v>4</v>
      </c>
      <c r="L15" s="36">
        <v>6</v>
      </c>
      <c r="M15" s="36">
        <v>8</v>
      </c>
      <c r="N15" s="37">
        <v>10</v>
      </c>
    </row>
    <row r="17" spans="7:14" x14ac:dyDescent="0.3">
      <c r="G17" s="30"/>
    </row>
    <row r="18" spans="7:14" x14ac:dyDescent="0.3">
      <c r="I18" s="30"/>
      <c r="J18" t="s">
        <v>92</v>
      </c>
      <c r="K18" s="38">
        <v>8</v>
      </c>
      <c r="L18" s="38"/>
      <c r="M18" s="38"/>
      <c r="N18" s="38"/>
    </row>
    <row r="19" spans="7:14" x14ac:dyDescent="0.3">
      <c r="K19" s="38"/>
      <c r="L19" s="38"/>
      <c r="M19" s="38"/>
      <c r="N19" s="38"/>
    </row>
  </sheetData>
  <mergeCells count="1">
    <mergeCell ref="K18:N19"/>
  </mergeCells>
  <conditionalFormatting sqref="C5:C8">
    <cfRule type="colorScale" priority="4">
      <colorScale>
        <cfvo type="min"/>
        <cfvo type="num" val="100"/>
        <cfvo type="max"/>
        <color rgb="FFF8696B"/>
        <color rgb="FFFFEB84"/>
        <color rgb="FF63BE7B"/>
      </colorScale>
    </cfRule>
  </conditionalFormatting>
  <conditionalFormatting sqref="D5:D8">
    <cfRule type="colorScale" priority="5">
      <colorScale>
        <cfvo type="min"/>
        <cfvo type="max"/>
        <color theme="8" tint="0.59999389629810485"/>
        <color rgb="FF63BE7B"/>
      </colorScale>
    </cfRule>
    <cfRule type="iconSet" priority="6">
      <iconSet iconSet="3TrafficLights2">
        <cfvo type="percent" val="0"/>
        <cfvo type="percent" val="33"/>
        <cfvo type="percent" val="67"/>
      </iconSet>
    </cfRule>
  </conditionalFormatting>
  <conditionalFormatting sqref="G5:G15">
    <cfRule type="expression" dxfId="3" priority="3">
      <formula>$G$17&gt;$G$5:$G$15</formula>
    </cfRule>
  </conditionalFormatting>
  <conditionalFormatting sqref="I13">
    <cfRule type="expression" dxfId="1" priority="2">
      <formula>$I$13:$I$15&gt;=$I$18</formula>
    </cfRule>
  </conditionalFormatting>
  <conditionalFormatting sqref="K15:N15">
    <cfRule type="expression" dxfId="0" priority="1">
      <formula>$K$15:$N$15 &gt;=$K$18</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E4:G8"/>
  <sheetViews>
    <sheetView workbookViewId="0">
      <selection activeCell="I3" sqref="E3:I13"/>
    </sheetView>
  </sheetViews>
  <sheetFormatPr defaultRowHeight="14.4" x14ac:dyDescent="0.3"/>
  <cols>
    <col min="6" max="6" width="11" bestFit="1" customWidth="1"/>
  </cols>
  <sheetData>
    <row r="4" spans="5:7" x14ac:dyDescent="0.3">
      <c r="E4" s="31"/>
      <c r="F4" s="31"/>
    </row>
    <row r="5" spans="5:7" x14ac:dyDescent="0.3">
      <c r="F5" s="29"/>
      <c r="G5" s="29"/>
    </row>
    <row r="6" spans="5:7" x14ac:dyDescent="0.3">
      <c r="E6" s="32"/>
      <c r="F6" s="1"/>
      <c r="G6" s="1"/>
    </row>
    <row r="7" spans="5:7" x14ac:dyDescent="0.3">
      <c r="E7" s="32"/>
      <c r="F7" s="1"/>
      <c r="G7" s="1"/>
    </row>
    <row r="8" spans="5:7" x14ac:dyDescent="0.3">
      <c r="E8" s="32"/>
      <c r="F8" s="1"/>
      <c r="G8" s="1"/>
    </row>
  </sheetData>
  <mergeCells count="1">
    <mergeCell ref="E4:F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7EBAD9F7-20F9-4DD8-B5A1-D8BE043A97CF}">
  <ds:schemaRefs/>
</ds:datastoreItem>
</file>

<file path=customXml/itemProps2.xml><?xml version="1.0" encoding="utf-8"?>
<ds:datastoreItem xmlns:ds="http://schemas.openxmlformats.org/officeDocument/2006/customXml" ds:itemID="{0C683F7F-38FA-452A-B137-2BE4C456C086}">
  <ds:schemaRefs/>
</ds:datastoreItem>
</file>

<file path=customXml/itemProps3.xml><?xml version="1.0" encoding="utf-8"?>
<ds:datastoreItem xmlns:ds="http://schemas.openxmlformats.org/officeDocument/2006/customXml" ds:itemID="{009A43EF-AB09-4DF7-BCBD-BD0B054FA1A7}">
  <ds:schemaRefs/>
</ds:datastoreItem>
</file>

<file path=customXml/itemProps4.xml><?xml version="1.0" encoding="utf-8"?>
<ds:datastoreItem xmlns:ds="http://schemas.openxmlformats.org/officeDocument/2006/customXml" ds:itemID="{62B2A0ED-C6CC-4EFC-AA6E-CE4344ECBA17}">
  <ds:schemaRefs/>
</ds:datastoreItem>
</file>

<file path=customXml/itemProps5.xml><?xml version="1.0" encoding="utf-8"?>
<ds:datastoreItem xmlns:ds="http://schemas.openxmlformats.org/officeDocument/2006/customXml" ds:itemID="{1726B34E-27E4-44AF-B32B-538A89F891D7}">
  <ds:schemaRefs/>
</ds:datastoreItem>
</file>

<file path=customXml/itemProps6.xml><?xml version="1.0" encoding="utf-8"?>
<ds:datastoreItem xmlns:ds="http://schemas.openxmlformats.org/officeDocument/2006/customXml" ds:itemID="{9AFCE036-CB70-4BEA-9D4F-DEFD2F183AF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2602C3D6-1CC3-4E3C-9976-E98BBA07608A}">
  <ds:schemaRefs/>
</ds:datastoreItem>
</file>

<file path=customXml/itemProps9.xml><?xml version="1.0" encoding="utf-8"?>
<ds:datastoreItem xmlns:ds="http://schemas.openxmlformats.org/officeDocument/2006/customXml" ds:itemID="{E3BFA8F2-3794-431F-9EB3-21512B27BFD5}">
  <ds:schemaRefs/>
</ds:datastoreItem>
</file>

<file path=customXml/itemProps10.xml><?xml version="1.0" encoding="utf-8"?>
<ds:datastoreItem xmlns:ds="http://schemas.openxmlformats.org/officeDocument/2006/customXml" ds:itemID="{B395E832-2FB1-4FCC-8347-BC626FE079C4}">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0092E684-A59A-4104-A123-0A01CF8CC963}">
  <ds:schemaRefs/>
</ds:datastoreItem>
</file>

<file path=customXml/itemProps13.xml><?xml version="1.0" encoding="utf-8"?>
<ds:datastoreItem xmlns:ds="http://schemas.openxmlformats.org/officeDocument/2006/customXml" ds:itemID="{A9D16D73-DF80-4591-8AB4-5AF50CD0432F}">
  <ds:schemaRefs/>
</ds:datastoreItem>
</file>

<file path=customXml/itemProps14.xml><?xml version="1.0" encoding="utf-8"?>
<ds:datastoreItem xmlns:ds="http://schemas.openxmlformats.org/officeDocument/2006/customXml" ds:itemID="{AD81E317-133D-4269-AD8E-F0B60817F787}">
  <ds:schemaRefs/>
</ds:datastoreItem>
</file>

<file path=customXml/itemProps15.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6.xml><?xml version="1.0" encoding="utf-8"?>
<ds:datastoreItem xmlns:ds="http://schemas.openxmlformats.org/officeDocument/2006/customXml" ds:itemID="{B51FFAB7-8A72-460A-905A-E4369F52DD03}">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AEAAFECA-2DE4-4B02-AD25-A0FB5A56E772}">
  <ds:schemaRefs/>
</ds:datastoreItem>
</file>

<file path=customXml/itemProps19.xml><?xml version="1.0" encoding="utf-8"?>
<ds:datastoreItem xmlns:ds="http://schemas.openxmlformats.org/officeDocument/2006/customXml" ds:itemID="{EA216088-64F2-4B38-88C8-2BB51C84CDE2}">
  <ds:schemaRefs/>
</ds:datastoreItem>
</file>

<file path=customXml/itemProps2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21.xml><?xml version="1.0" encoding="utf-8"?>
<ds:datastoreItem xmlns:ds="http://schemas.openxmlformats.org/officeDocument/2006/customXml" ds:itemID="{D1CDC618-B7E4-42ED-9136-887556D3E8F6}">
  <ds:schemaRefs/>
</ds:datastoreItem>
</file>

<file path=customXml/itemProps22.xml><?xml version="1.0" encoding="utf-8"?>
<ds:datastoreItem xmlns:ds="http://schemas.openxmlformats.org/officeDocument/2006/customXml" ds:itemID="{F983B97C-63D1-4E74-B3D4-7D94D857A85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2026-10-14T16:47:31Z</dcterms:modified>
</cp:coreProperties>
</file>