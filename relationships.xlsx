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6ADBACDF-60E8-40F9-BCB9-3646ED274893}" xr6:coauthVersionLast="47" xr6:coauthVersionMax="47" xr10:uidLastSave="{00000000-0000-0000-0000-000000000000}"/>
  <bookViews>
    <workbookView xWindow="-108" yWindow="-108" windowWidth="23256" windowHeight="12456" tabRatio="705" firstSheet="10" activeTab="12"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Sheet1" sheetId="12" r:id="rId8"/>
    <sheet name="products" sheetId="11" r:id="rId9"/>
    <sheet name="dashboard" sheetId="9" r:id="rId10"/>
    <sheet name="pivot table sales" sheetId="8" r:id="rId11"/>
    <sheet name="data raw sales" sheetId="7" r:id="rId12"/>
    <sheet name="conditional" sheetId="13" r:id="rId13"/>
    <sheet name="Sheet3" sheetId="14" r:id="rId14"/>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5"/>
    <pivotCache cacheId="1"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 i="13" l="1"/>
  <c r="D7" i="13"/>
  <c r="D8" i="13"/>
  <c r="D9" i="13"/>
  <c r="D5" i="13"/>
  <c r="C9" i="13"/>
  <c r="H42" i="7"/>
  <c r="A3" i="6"/>
  <c r="A4" i="6"/>
  <c r="A5" i="6"/>
  <c r="A6" i="6"/>
  <c r="A7" i="6"/>
  <c r="A8" i="6"/>
  <c r="I58" i="8"/>
  <c r="O58" i="8"/>
  <c r="E58" i="8"/>
  <c r="B58" i="8"/>
  <c r="L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<sst xmlns="http://schemas.openxmlformats.org/spreadsheetml/2006/main" count="266" uniqueCount="93">
  <si>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</si>
  <si>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</si>
  <si>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</si>
  <si>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</si>
  <si>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</si>
  <si>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</si>
  <si>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</si>
  <si>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</si>
  <si>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</si>
  <si>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</si>
  <si>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</si>
  <si>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</si>
  <si>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</si>
  <si>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</si>
  <si>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</si>
  <si>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</si>
  <si>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</si>
  <si>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</si>
  <si>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</si>
  <si>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</si>
  <si>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</si>
  <si>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</si>
  <si>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</si>
  <si>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</si>
  <si>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</si>
  <si>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</si>
  <si>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</si>
  <si>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</si>
  <si>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</si>
  <si>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</si>
  <si>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</si>
  <si>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</si>
  <si>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</si>
  <si>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</si>
  <si>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</si>
  <si>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</si>
  <si>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</si>
  <si>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</si>
  <si>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</si>
  <si>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</si>
  <si>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</si>
  <si>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</si>
  <si>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</si>
  <si>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</si>
  <si>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</si>
  <si>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</si>
  <si>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</si>
  <si>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</si>
  <si>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</si>
  <si>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</si>
  <si>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</si>
  <si>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</si>
  <si>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</si>
  <si>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</si>
  <si>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</si>
  <si>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</si>
  <si>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</si>
  <si>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</si>
  <si>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</si>
  <si>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</si>
  <si>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</si>
  <si>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</si>
  <si>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</si>
  <si>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</si>
  <si>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</si>
  <si>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</si>
  <si>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</si>
  <si>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</si>
  <si>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</si>
  <si>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</si>
  <si>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</si>
  <si>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</si>
  <si>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</si>
  <si>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</si>
  <si>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</si>
  <si>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</si>
  <si>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</si>
  <si>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</si>
  <si>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</si>
  <si>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</si>
  <si>
    <t>Feb</t>
  </si>
  <si>
    <t>hamid taha</t>
  </si>
  <si>
    <t>milano</t>
  </si>
  <si>
    <t>gamer</t>
  </si>
  <si>
    <t>Average of Price</t>
  </si>
  <si>
    <t>tomobil</t>
  </si>
  <si>
    <t>kra</t>
  </si>
  <si>
    <t>9raya</t>
  </si>
  <si>
    <t>café</t>
  </si>
  <si>
    <t>expenses</t>
  </si>
  <si>
    <t>total</t>
  </si>
  <si>
    <t>%</t>
  </si>
  <si>
    <t>hhj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</si>
</sst>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4" x14ac:knownFonts="1">
    <font>
      <sz val="11"/>
      <color theme="1"/>
      <name val="Aptos Narrow"/>
      <family val="2"/>
      <scheme val="minor"/>
    </font>
    <font>
      <b/>
      <sz val="11"/>
      <color theme="1"/>
      <name val="Aptos Narrow"/>
      <family val="2"/>
      <scheme val="minor"/>
    </font>
    <font>
      <sz val="20"/>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3" tint="0.89999084444715716"/>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style="thin">
        <color indexed="64"/>
      </bottom>
      <diagonal/>
    </border>
  </borders>
  <cellStyleXfs count="2">
    <xf numFmtId="0" fontId="0" fillId="0" borderId="0"/>
    <xf numFmtId="9" fontId="3" fillId="0" borderId="0" applyFont="0" applyFill="0" applyBorder="0" applyAlignment="0" applyProtection="0"/>
  </cellStyleXfs>
  <cellXfs count="39">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0" fillId="0" borderId="1" xfId="0" applyBorder="1" applyAlignment="1">
      <alignment horizontal="center"/>
    </xf>
    <xf numFmtId="164" fontId="0" fillId="0" borderId="1" xfId="0" applyNumberFormat="1" applyBorder="1" applyAlignment="1">
      <alignment horizontal="center"/>
    </xf>
    <xf numFmtId="9" fontId="0" fillId="0" borderId="1" xfId="1" applyFont="1" applyBorder="1" applyAlignment="1">
      <alignment horizontal="center"/>
    </xf>
    <xf numFmtId="0" fontId="0" fillId="0" borderId="1" xfId="0" applyFill="1" applyBorder="1" applyAlignment="1">
      <alignment horizontal="center"/>
    </xf>
    <xf numFmtId="0" fontId="0" fillId="2" borderId="1" xfId="0" applyFill="1" applyBorder="1" applyAlignment="1">
      <alignment horizontal="center"/>
    </xf>
    <xf numFmtId="9" fontId="0" fillId="0" borderId="0" xfId="1" applyFont="1" applyFill="1" applyBorder="1" applyAlignment="1">
      <alignment horizontal="center"/>
    </xf>
    <xf numFmtId="0" fontId="2" fillId="2" borderId="0" xfId="0" applyFont="1" applyFill="1" applyAlignment="1">
      <alignment horizontal="center" vertical="center"/>
    </xf>
    <xf numFmtId="0" fontId="0" fillId="2" borderId="0" xfId="0" applyFill="1" applyAlignment="1">
      <alignment horizontal="center" vertical="center"/>
    </xf>
    <xf numFmtId="0" fontId="0" fillId="2" borderId="1" xfId="0" applyFill="1" applyBorder="1"/>
    <xf numFmtId="0" fontId="0" fillId="0" borderId="0" xfId="0" applyAlignment="1">
      <alignment horizontal="center"/>
    </xf>
    <xf numFmtId="0" fontId="0" fillId="0" borderId="0" xfId="0" applyAlignment="1">
      <alignment horizontal="center"/>
    </xf>
    <xf numFmtId="0" fontId="0" fillId="2" borderId="3" xfId="0" applyFill="1" applyBorder="1"/>
    <xf numFmtId="0" fontId="0" fillId="3" borderId="0" xfId="0" applyFill="1" applyAlignment="1">
      <alignment horizontal="center"/>
    </xf>
    <xf numFmtId="0" fontId="0" fillId="4" borderId="0" xfId="0" applyFill="1" applyAlignment="1">
      <alignment horizontal="center"/>
    </xf>
    <xf numFmtId="0" fontId="0" fillId="5" borderId="3" xfId="0" applyFill="1" applyBorder="1" applyAlignment="1">
      <alignment horizontal="center" vertical="center"/>
    </xf>
    <xf numFmtId="0" fontId="0" fillId="5" borderId="10" xfId="0" applyFill="1" applyBorder="1" applyAlignment="1">
      <alignment horizontal="center" vertical="center"/>
    </xf>
    <xf numFmtId="0" fontId="0" fillId="5" borderId="2" xfId="0" applyFill="1" applyBorder="1" applyAlignment="1">
      <alignment horizontal="center" vertical="center"/>
    </xf>
    <xf numFmtId="0" fontId="0" fillId="0" borderId="0" xfId="0" applyAlignment="1">
      <alignment horizontal="center" vertical="center"/>
    </xf>
  </cellXfs>
  <cellStyles count="2">
    <cellStyle name="Normal" xfId="0" builtinId="0"/>
    <cellStyle name="Percent" xfId="1" builtinId="5"/>
  </cellStyles>
  <dxfs count="54">
    <dxf>
      <fill>
        <patternFill>
          <bgColor rgb="FFFFFF00"/>
        </patternFill>
      </fill>
    </dxf>
    <dxf>
      <fill>
        <patternFill>
          <bgColor rgb="FF92D050"/>
        </patternFill>
      </fill>
    </dxf>
    <dxf>
      <fill>
        <patternFill>
          <bgColor theme="5" tint="-0.24994659260841701"/>
        </patternFill>
      </fill>
    </dxf>
    <dxf>
      <fill>
        <patternFill>
          <bgColor theme="5" tint="-0.24994659260841701"/>
        </patternFill>
      </fill>
    </dxf>
    <dxf>
      <fill>
        <patternFill>
          <bgColor theme="5" tint="-0.24994659260841701"/>
        </patternFill>
      </fill>
    </dxf>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53"/>
    </tableStyle>
    <tableStyle name="lala" pivot="0" table="0" count="8" xr9:uid="{DD81CD64-2808-4CEA-9C01-4180B4801163}">
      <tableStyleElement type="wholeTable" dxfId="52"/>
      <tableStyleElement type="headerRow" dxfId="51"/>
    </tableStyle>
    <tableStyle name="lamina" pivot="0" table="0" count="1" xr9:uid="{D385192D-4717-4737-8E8C-886C505036D0}"/>
    <tableStyle name="lanini" pivot="0" table="0" count="2" xr9:uid="{40C6B56F-A003-4D3F-B525-E38E98C3907E}">
      <tableStyleElement type="wholeTable" dxfId="50"/>
    </tableStyle>
    <tableStyle name="Timeline Style 1" pivot="0" table="0" count="8" xr9:uid="{9B0A14E2-3CD1-4B19-8553-57CECB3028D8}">
      <tableStyleElement type="wholeTable" dxfId="49"/>
      <tableStyleElement type="headerRow" dxfId="48"/>
    </tableStyle>
    <tableStyle name="Timeline Style 2" pivot="0" table="0" count="8" xr9:uid="{49D621C8-D30B-4E29-85D1-6A8B15CAF539}">
      <tableStyleElement type="wholeTable" dxfId="47"/>
      <tableStyleElement type="headerRow" dxfId="46"/>
    </tableStyle>
    <tableStyle name="Timeline Style 3" pivot="0" table="0" count="8" xr9:uid="{258C9365-08EF-4D0A-89CD-E9F7EBD3F908}">
      <tableStyleElement type="wholeTable" dxfId="45"/>
      <tableStyleElement type="headerRow" dxfId="44"/>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11/relationships/timelineCache" Target="timelineCaches/timelineCach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tyles" Target="styles.xml"/><Relationship Id="rId34" Type="http://schemas.openxmlformats.org/officeDocument/2006/relationships/customXml" Target="../customXml/item10.xml"/><Relationship Id="rId42"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connections" Target="connections.xml"/><Relationship Id="rId41"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sales'!$D$5:$D$9</c:f>
              <c:strCache>
                <c:ptCount val="4"/>
                <c:pt idx="0">
                  <c:v>Ahmed Said</c:v>
                </c:pt>
                <c:pt idx="1">
                  <c:v>Ali Ramadan</c:v>
                </c:pt>
                <c:pt idx="2">
                  <c:v>Khaled Hassan</c:v>
                </c:pt>
                <c:pt idx="3">
                  <c:v>Tamer Mohamed</c:v>
                </c:pt>
              </c:strCache>
            </c:strRef>
          </c:cat>
          <c:val>
            <c:numRef>
              <c:f>'pivot table sales'!$E$5:$E$9</c:f>
              <c:numCache>
                <c:formatCode>General</c:formatCode>
                <c:ptCount val="4"/>
                <c:pt idx="0">
                  <c:v>1140</c:v>
                </c:pt>
                <c:pt idx="1">
                  <c:v>760</c:v>
                </c:pt>
                <c:pt idx="2">
                  <c:v>1140</c:v>
                </c:pt>
                <c:pt idx="3">
                  <c:v>190</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sales'!$H$5:$H$7</c:f>
              <c:strCache>
                <c:ptCount val="2"/>
                <c:pt idx="0">
                  <c:v>Jan</c:v>
                </c:pt>
                <c:pt idx="1">
                  <c:v>Feb</c:v>
                </c:pt>
              </c:strCache>
            </c:strRef>
          </c:cat>
          <c:val>
            <c:numRef>
              <c:f>'pivot table sales'!$I$5:$I$7</c:f>
              <c:numCache>
                <c:formatCode>General</c:formatCode>
                <c:ptCount val="2"/>
                <c:pt idx="0">
                  <c:v>2850</c:v>
                </c:pt>
                <c:pt idx="1">
                  <c:v>380</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17</xdr:col>
      <xdr:colOff>320040</xdr:colOff>
      <xdr:row>0</xdr:row>
      <xdr:rowOff>144780</xdr:rowOff>
    </xdr:from>
    <xdr:to>
      <xdr:col>18</xdr:col>
      <xdr:colOff>220980</xdr:colOff>
      <xdr:row>3</xdr:row>
      <xdr:rowOff>106680</xdr:rowOff>
    </xdr:to>
    <xdr:pic>
      <xdr:nvPicPr>
        <xdr:cNvPr id="29" name="Graphic 28" descr="Arrow circle with solid fill">
          <a:extLst>
            <a:ext uri="{FF2B5EF4-FFF2-40B4-BE49-F238E27FC236}">
              <a16:creationId xmlns:a16="http://schemas.microsoft.com/office/drawing/2014/main" id="{68A5AFA2-93F0-63C0-127D-3C3C37C79AA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83240" y="144780"/>
          <a:ext cx="510540" cy="51054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2.779738657409"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2.779744212959" createdVersion="8" refreshedVersion="8" minRefreshableVersion="3" recordCount="41" xr:uid="{D641DFE7-4C15-4723-BED5-80B09CEFB3D8}">
  <cacheSource type="worksheet">
    <worksheetSource name="dataraw"/>
  </cacheSource>
  <cacheFields count="10">
    <cacheField name="S No" numFmtId="0">
      <sharedItems containsSemiMixedTypes="0" containsString="0" containsNumber="1" containsInteger="1" minValue="1" maxValue="41"/>
    </cacheField>
    <cacheField name="Date" numFmtId="14">
      <sharedItems containsSemiMixedTypes="0" containsNonDate="0" containsDate="1" containsString="0" minDate="2023-01-01T00:00:00" maxDate="2023-03-20T00:00:00" count="41">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3-19T00:00:00"/>
      </sharedItems>
      <fieldGroup par="9"/>
    </cacheField>
    <cacheField name="Salesman" numFmtId="0">
      <sharedItems count="7">
        <s v="Ahmed Said"/>
        <s v="Ali Ramadan"/>
        <s v="Ashraf Zaki"/>
        <s v="Fathy Ali"/>
        <s v="Tamer Mohamed"/>
        <s v="Khaled Hassan"/>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1"/>
    <x v="40"/>
    <x v="6"/>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14"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measureFilter="1" sortType="descending">
      <items count="8">
        <item x="4"/>
        <item x="5"/>
        <item x="6"/>
        <item x="3"/>
        <item x="2"/>
        <item x="1"/>
        <item x="0"/>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v="1"/>
    </i>
    <i>
      <x v="5"/>
    </i>
    <i>
      <x v="6"/>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filters count="2">
    <filter fld="1" type="dateBetween" evalOrder="-1" id="1167"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measureFilter="1" sortType="descending">
      <items count="10">
        <item x="4"/>
        <item x="1"/>
        <item x="2"/>
        <item x="0"/>
        <item x="5"/>
        <item x="3"/>
        <item x="7"/>
        <item x="6"/>
        <item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4">
    <i>
      <x v="5"/>
    </i>
    <i>
      <x v="2"/>
    </i>
    <i>
      <x v="4"/>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1169"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4" type="count" evalOrder="-1" id="77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1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7"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3">
    <i>
      <x v="1"/>
    </i>
    <i>
      <x v="2"/>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s>
  <data>
    <tabular pivotCacheId="2123660732">
      <items count="9">
        <i x="8"/>
        <i x="6"/>
        <i x="7" s="1"/>
        <i x="3"/>
        <i x="5"/>
        <i x="0"/>
        <i x="2"/>
        <i x="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43" headerRowBorderDxfId="42" tableBorderDxfId="41" totalsRowBorderDxfId="40">
  <autoFilter ref="A2:C8" xr:uid="{E9E678CC-A933-4146-A266-8561FE66B063}"/>
  <tableColumns count="3">
    <tableColumn id="1" xr3:uid="{F9EC0535-D2ED-4975-8C35-424457CA2DE6}" name="tradeid" dataDxfId="39"/>
    <tableColumn id="2" xr3:uid="{9B8BB1FC-668E-49CD-A8D7-420D207088F2}" name="pair" dataDxfId="38"/>
    <tableColumn id="3" xr3:uid="{5E681BDC-3DC3-4516-B864-5D0AE1542D9F}" name="profit" dataDxfId="3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36" headerRowBorderDxfId="35" tableBorderDxfId="34" totalsRowBorderDxfId="33">
  <autoFilter ref="A2:C6" xr:uid="{96F793BC-B311-4CDF-8DA7-E3AEA6D0D526}"/>
  <tableColumns count="3">
    <tableColumn id="1" xr3:uid="{68D02487-9EAC-4BB9-9D4A-0CE1E96851CB}" name="tradeid" dataDxfId="32"/>
    <tableColumn id="2" xr3:uid="{12D66D41-0E62-41A4-A2C5-9DF9CB0EA836}" name="name" dataDxfId="31"/>
    <tableColumn id="3" xr3:uid="{A9438FDE-5ADC-4819-BD3E-00588951190F}" name="lastname" dataDxfId="3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29" headerRowBorderDxfId="28" tableBorderDxfId="27" totalsRowBorderDxfId="26">
  <autoFilter ref="A2:D9" xr:uid="{2486897B-78D6-4FF7-8650-B8C9CDD52BAE}"/>
  <tableColumns count="4">
    <tableColumn id="1" xr3:uid="{777E8C10-BE98-4358-9481-1AB4CFB9A947}" name="clientid" dataDxfId="25"/>
    <tableColumn id="2" xr3:uid="{9A2DEB65-468F-480B-BEF5-AAF8ED365379}" name="name" dataDxfId="24"/>
    <tableColumn id="3" xr3:uid="{1B7491DC-0A23-4566-9F79-D44ECFF3B165}" name="lastname" dataDxfId="23"/>
    <tableColumn id="4" xr3:uid="{58765888-333D-4334-BE18-C549AC0D18CF}" name="country" dataDxfId="2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21" headerRowBorderDxfId="20" tableBorderDxfId="19" totalsRowBorderDxfId="18">
  <autoFilter ref="A3:C7" xr:uid="{C0EB578E-3BC9-41F0-B814-7E123E6A73E4}"/>
  <tableColumns count="3">
    <tableColumn id="1" xr3:uid="{FE9B4DCD-B79F-4AB2-B0AD-10867D1DB9EB}" name="productname" dataDxfId="17"/>
    <tableColumn id="2" xr3:uid="{D9CDEBC8-2AA4-4242-B5E9-CB8A496F4F5C}" name="price" dataDxfId="16"/>
    <tableColumn id="3" xr3:uid="{79BDE64B-CC2F-4093-A1AC-E9408397D3C3}" name="qte" dataDxfId="1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14" headerRowBorderDxfId="13" tableBorderDxfId="12" totalsRowBorderDxfId="11">
  <autoFilter ref="A2:C8" xr:uid="{4A9A0CE0-CDE1-4E4A-B9CB-B28BAE8443AB}"/>
  <tableColumns count="3">
    <tableColumn id="1" xr3:uid="{B6A7184C-BE63-4F0C-B6AE-738DB7257FFD}" name="date" dataDxfId="10">
      <calculatedColumnFormula>DATE(2026,10,5)</calculatedColumnFormula>
    </tableColumn>
    <tableColumn id="2" xr3:uid="{B4494D3F-AC50-4F95-AA82-23740AD1A282}" name="clientid" dataDxfId="9"/>
    <tableColumn id="3" xr3:uid="{CB7B7653-9379-419F-BB8E-37E09604FE44}" name="productname" dataDxfId="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2" totalsRowShown="0">
  <autoFilter ref="A1:H42" xr:uid="{5024BCAD-14FE-4CB7-8FC4-4DC9405A7D98}"/>
  <tableColumns count="8">
    <tableColumn id="1" xr3:uid="{496DC01D-C1B8-4F50-B198-021C6316EBB1}" name="S No"/>
    <tableColumn id="2" xr3:uid="{9D5EF8AD-7F70-4D2E-AAF2-AC2B5045BF09}" name="Date" dataDxfId="7"/>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6"/>
    <tableColumn id="8" xr3:uid="{ED0648F6-FD27-40AE-88F4-48D1D266766A}" name="Amount"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3-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1"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1"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1"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dimension ref="A2:C8"/>
  <sheetViews>
    <sheetView workbookViewId="0">
      <selection activeCell="H6" sqref="H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tabColor theme="9" tint="0.59999389629810485"/>
  </sheetPr>
  <dimension ref="A1"/>
  <sheetViews>
    <sheetView showGridLines="0" workbookViewId="0">
      <selection activeCell="V8" sqref="V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DE2DF-8E26-4662-AE67-8CA94C16532A}">
  <sheetPr>
    <tabColor theme="9" tint="0.59999389629810485"/>
  </sheetPr>
  <dimension ref="A1"/>
  <sheetViews>
    <sheetView zoomScaleNormal="100" workbookViewId="0"/>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tabColor theme="9" tint="0.39997558519241921"/>
  </sheetPr>
  <dimension ref="A1:O58"/>
  <sheetViews>
    <sheetView topLeftCell="A16" workbookViewId="0">
      <selection activeCell="E41" sqref="E41"/>
    </sheetView>
  </sheetViews>
  <sheetFormatPr defaultRowHeight="14.4" x14ac:dyDescent="0.3"/>
  <cols>
    <col min="1" max="1" width="9.5546875" bestFit="1" customWidth="1"/>
    <col min="2" max="2" width="13.554687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8" t="s">
        <v>78</v>
      </c>
      <c r="B1" s="28"/>
      <c r="C1" s="28"/>
      <c r="D1" s="28"/>
      <c r="E1" s="28"/>
    </row>
    <row r="2" spans="1:9" x14ac:dyDescent="0.3">
      <c r="A2" s="28"/>
      <c r="B2" s="28"/>
      <c r="C2" s="28"/>
      <c r="D2" s="28"/>
      <c r="E2" s="28"/>
    </row>
    <row r="4" spans="1:9" x14ac:dyDescent="0.3">
      <c r="A4" s="10" t="s">
        <v>70</v>
      </c>
      <c r="B4" t="s">
        <v>68</v>
      </c>
      <c r="D4" s="10" t="s">
        <v>69</v>
      </c>
      <c r="E4" t="s">
        <v>68</v>
      </c>
      <c r="H4" s="10" t="s">
        <v>70</v>
      </c>
      <c r="I4" t="s">
        <v>68</v>
      </c>
    </row>
    <row r="5" spans="1:9" x14ac:dyDescent="0.3">
      <c r="A5" s="11" t="s">
        <v>66</v>
      </c>
      <c r="B5" s="12">
        <v>3600</v>
      </c>
      <c r="D5" s="11" t="s">
        <v>50</v>
      </c>
      <c r="E5" s="12">
        <v>1140</v>
      </c>
      <c r="H5" s="11" t="s">
        <v>79</v>
      </c>
      <c r="I5" s="12">
        <v>2850</v>
      </c>
    </row>
    <row r="6" spans="1:9" x14ac:dyDescent="0.3">
      <c r="A6" s="11" t="s">
        <v>67</v>
      </c>
      <c r="B6" s="12">
        <v>3230</v>
      </c>
      <c r="D6" s="11" t="s">
        <v>53</v>
      </c>
      <c r="E6" s="12">
        <v>760</v>
      </c>
      <c r="H6" s="11" t="s">
        <v>80</v>
      </c>
      <c r="I6" s="12">
        <v>380</v>
      </c>
    </row>
    <row r="7" spans="1:9" x14ac:dyDescent="0.3">
      <c r="A7" s="11" t="s">
        <v>61</v>
      </c>
      <c r="B7" s="12">
        <v>306000</v>
      </c>
      <c r="D7" s="11" t="s">
        <v>60</v>
      </c>
      <c r="E7" s="12">
        <v>1140</v>
      </c>
      <c r="H7" s="11" t="s">
        <v>14</v>
      </c>
      <c r="I7" s="12">
        <v>3230</v>
      </c>
    </row>
    <row r="8" spans="1:9" x14ac:dyDescent="0.3">
      <c r="A8" s="11" t="s">
        <v>65</v>
      </c>
      <c r="B8" s="12">
        <v>12000</v>
      </c>
      <c r="D8" s="11" t="s">
        <v>59</v>
      </c>
      <c r="E8" s="12">
        <v>190</v>
      </c>
    </row>
    <row r="9" spans="1:9" x14ac:dyDescent="0.3">
      <c r="A9" s="11" t="s">
        <v>52</v>
      </c>
      <c r="B9" s="12">
        <v>4200</v>
      </c>
      <c r="D9" s="11" t="s">
        <v>14</v>
      </c>
      <c r="E9" s="12">
        <v>3230</v>
      </c>
    </row>
    <row r="10" spans="1:9" x14ac:dyDescent="0.3">
      <c r="A10" s="11" t="s">
        <v>57</v>
      </c>
      <c r="B10" s="12">
        <v>79800</v>
      </c>
    </row>
    <row r="11" spans="1:9" x14ac:dyDescent="0.3">
      <c r="A11" s="11" t="s">
        <v>55</v>
      </c>
      <c r="B11" s="12">
        <v>10500</v>
      </c>
    </row>
    <row r="12" spans="1:9" x14ac:dyDescent="0.3">
      <c r="A12" s="11" t="s">
        <v>63</v>
      </c>
      <c r="B12" s="12">
        <v>7200</v>
      </c>
    </row>
    <row r="13" spans="1:9" x14ac:dyDescent="0.3">
      <c r="A13" s="11" t="s">
        <v>83</v>
      </c>
      <c r="B13" s="12">
        <v>168</v>
      </c>
      <c r="H13" s="10" t="s">
        <v>70</v>
      </c>
      <c r="I13" t="s">
        <v>84</v>
      </c>
    </row>
    <row r="14" spans="1:9" x14ac:dyDescent="0.3">
      <c r="A14" s="11" t="s">
        <v>14</v>
      </c>
      <c r="B14" s="12">
        <v>426698</v>
      </c>
      <c r="H14" s="11" t="s">
        <v>67</v>
      </c>
      <c r="I14" s="12">
        <v>190</v>
      </c>
    </row>
    <row r="15" spans="1:9" x14ac:dyDescent="0.3">
      <c r="H15" s="11" t="s">
        <v>14</v>
      </c>
      <c r="I15" s="12">
        <v>190</v>
      </c>
    </row>
    <row r="18" spans="1:5" x14ac:dyDescent="0.3">
      <c r="A18" s="10" t="s">
        <v>70</v>
      </c>
      <c r="B18" t="s">
        <v>71</v>
      </c>
    </row>
    <row r="19" spans="1:5" x14ac:dyDescent="0.3">
      <c r="A19" s="11" t="s">
        <v>67</v>
      </c>
      <c r="B19" s="12">
        <v>5</v>
      </c>
    </row>
    <row r="20" spans="1:5" x14ac:dyDescent="0.3">
      <c r="A20" s="11" t="s">
        <v>14</v>
      </c>
      <c r="B20" s="12">
        <v>5</v>
      </c>
      <c r="D20" s="10" t="s">
        <v>69</v>
      </c>
      <c r="E20" t="s">
        <v>71</v>
      </c>
    </row>
    <row r="21" spans="1:5" x14ac:dyDescent="0.3">
      <c r="D21" s="11" t="s">
        <v>50</v>
      </c>
      <c r="E21" s="12">
        <v>1</v>
      </c>
    </row>
    <row r="22" spans="1:5" x14ac:dyDescent="0.3">
      <c r="D22" s="11" t="s">
        <v>53</v>
      </c>
      <c r="E22" s="12">
        <v>1</v>
      </c>
    </row>
    <row r="23" spans="1:5" x14ac:dyDescent="0.3">
      <c r="D23" s="11" t="s">
        <v>60</v>
      </c>
      <c r="E23" s="12">
        <v>2</v>
      </c>
    </row>
    <row r="24" spans="1:5" x14ac:dyDescent="0.3">
      <c r="D24" s="11" t="s">
        <v>59</v>
      </c>
      <c r="E24" s="12">
        <v>1</v>
      </c>
    </row>
    <row r="25" spans="1:5" x14ac:dyDescent="0.3">
      <c r="D25" s="11" t="s">
        <v>14</v>
      </c>
      <c r="E25" s="12">
        <v>5</v>
      </c>
    </row>
    <row r="35" spans="1:5" x14ac:dyDescent="0.3">
      <c r="A35" s="10" t="s">
        <v>70</v>
      </c>
      <c r="B35" t="s">
        <v>68</v>
      </c>
      <c r="D35" s="10" t="s">
        <v>69</v>
      </c>
      <c r="E35" t="s">
        <v>68</v>
      </c>
    </row>
    <row r="36" spans="1:5" x14ac:dyDescent="0.3">
      <c r="A36" s="11" t="s">
        <v>61</v>
      </c>
      <c r="B36" s="12">
        <v>306000</v>
      </c>
      <c r="D36" s="11" t="s">
        <v>60</v>
      </c>
      <c r="E36" s="12">
        <v>1140</v>
      </c>
    </row>
    <row r="37" spans="1:5" x14ac:dyDescent="0.3">
      <c r="A37" s="11" t="s">
        <v>57</v>
      </c>
      <c r="B37" s="12">
        <v>79800</v>
      </c>
      <c r="D37" s="11" t="s">
        <v>53</v>
      </c>
      <c r="E37" s="12">
        <v>760</v>
      </c>
    </row>
    <row r="38" spans="1:5" x14ac:dyDescent="0.3">
      <c r="A38" s="11" t="s">
        <v>65</v>
      </c>
      <c r="B38" s="12">
        <v>12000</v>
      </c>
      <c r="D38" s="11" t="s">
        <v>50</v>
      </c>
      <c r="E38" s="12">
        <v>1140</v>
      </c>
    </row>
    <row r="39" spans="1:5" x14ac:dyDescent="0.3">
      <c r="A39" s="11" t="s">
        <v>14</v>
      </c>
      <c r="B39" s="12">
        <v>397800</v>
      </c>
      <c r="D39" s="11" t="s">
        <v>14</v>
      </c>
      <c r="E39" s="12">
        <v>3040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7" t="s">
        <v>77</v>
      </c>
      <c r="B53" s="27"/>
      <c r="C53" s="27"/>
      <c r="D53" s="27"/>
      <c r="E53" s="27"/>
      <c r="F53" s="27"/>
      <c r="G53" s="27"/>
      <c r="H53" s="27"/>
      <c r="I53" s="27"/>
      <c r="J53" s="27"/>
      <c r="K53" s="27"/>
      <c r="L53" s="27"/>
      <c r="M53" s="27"/>
      <c r="N53" s="27"/>
      <c r="O53" s="27"/>
    </row>
    <row r="54" spans="1:15" x14ac:dyDescent="0.3">
      <c r="A54" s="27"/>
      <c r="B54" s="27"/>
      <c r="C54" s="27"/>
      <c r="D54" s="27"/>
      <c r="E54" s="27"/>
      <c r="F54" s="27"/>
      <c r="G54" s="27"/>
      <c r="H54" s="27"/>
      <c r="I54" s="27"/>
      <c r="J54" s="27"/>
      <c r="K54" s="27"/>
      <c r="L54" s="27"/>
      <c r="M54" s="27"/>
      <c r="N54" s="27"/>
      <c r="O54" s="27"/>
    </row>
    <row r="57" spans="1:15" x14ac:dyDescent="0.3">
      <c r="A57" t="s">
        <v>72</v>
      </c>
      <c r="D57" t="s">
        <v>73</v>
      </c>
      <c r="H57" t="s">
        <v>74</v>
      </c>
      <c r="K57" t="s">
        <v>75</v>
      </c>
      <c r="N57" t="s">
        <v>76</v>
      </c>
    </row>
    <row r="58" spans="1:15" x14ac:dyDescent="0.3">
      <c r="A58" s="12">
        <v>3230</v>
      </c>
      <c r="B58" s="20">
        <f>GETPIVOTDATA("Amount",$A$57)</f>
        <v>3230</v>
      </c>
      <c r="D58" s="12">
        <v>5</v>
      </c>
      <c r="E58" s="20">
        <f>GETPIVOTDATA("Amount",$D$57)</f>
        <v>5</v>
      </c>
      <c r="H58" s="12">
        <v>646</v>
      </c>
      <c r="I58" s="20">
        <f>GETPIVOTDATA("Amount",$H$57)</f>
        <v>646</v>
      </c>
      <c r="K58" s="12">
        <v>1140</v>
      </c>
      <c r="L58" s="20">
        <f>GETPIVOTDATA("Amount",$K$57)</f>
        <v>1140</v>
      </c>
      <c r="N58" s="12">
        <v>190</v>
      </c>
      <c r="O58" s="20">
        <f>GETPIVOTDATA("Amount",$N$57)</f>
        <v>190</v>
      </c>
    </row>
  </sheetData>
  <mergeCells count="2">
    <mergeCell ref="A53:O54"/>
    <mergeCell ref="A1:E2"/>
  </mergeCells>
  <pageMargins left="0.7" right="0.7" top="0.75" bottom="0.75" header="0.3" footer="0.3"/>
  <drawing r:id="rId1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tabColor theme="9" tint="-0.249977111117893"/>
  </sheetPr>
  <dimension ref="A1:H42"/>
  <sheetViews>
    <sheetView workbookViewId="0">
      <selection activeCell="H43" sqref="H43"/>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41</v>
      </c>
      <c r="B42" s="18">
        <v>45004</v>
      </c>
      <c r="C42" t="s">
        <v>81</v>
      </c>
      <c r="D42" t="s">
        <v>82</v>
      </c>
      <c r="E42" t="s">
        <v>83</v>
      </c>
      <c r="F42">
        <v>3</v>
      </c>
      <c r="G42" s="19">
        <v>56</v>
      </c>
      <c r="H42" s="19">
        <f>dataraw[[#This Row],[Price]]*dataraw[[#This Row],[Qty]]</f>
        <v>168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EF884-2252-4957-9E46-FE7F24E6BB84}">
  <dimension ref="B4:N19"/>
  <sheetViews>
    <sheetView tabSelected="1" workbookViewId="0">
      <selection activeCell="J18" sqref="J18"/>
    </sheetView>
  </sheetViews>
  <sheetFormatPr defaultRowHeight="14.4" x14ac:dyDescent="0.3"/>
  <cols>
    <col min="1" max="1" width="11.88671875" customWidth="1"/>
    <col min="2" max="2" width="12.6640625" customWidth="1"/>
    <col min="3" max="3" width="14.77734375" customWidth="1"/>
    <col min="4" max="4" width="14.109375" customWidth="1"/>
  </cols>
  <sheetData>
    <row r="4" spans="2:14" x14ac:dyDescent="0.3">
      <c r="B4" s="25"/>
      <c r="C4" s="25" t="s">
        <v>89</v>
      </c>
      <c r="D4" s="25" t="s">
        <v>91</v>
      </c>
    </row>
    <row r="5" spans="2:14" x14ac:dyDescent="0.3">
      <c r="B5" s="21" t="s">
        <v>85</v>
      </c>
      <c r="C5" s="22">
        <v>1400</v>
      </c>
      <c r="D5" s="23">
        <f>C5/$C$9</f>
        <v>0.85470085470085466</v>
      </c>
      <c r="G5" s="33">
        <v>10</v>
      </c>
    </row>
    <row r="6" spans="2:14" x14ac:dyDescent="0.3">
      <c r="B6" s="21" t="s">
        <v>86</v>
      </c>
      <c r="C6" s="22">
        <v>78</v>
      </c>
      <c r="D6" s="23">
        <f t="shared" ref="D6:D9" si="0">C6/$C$9</f>
        <v>4.7619047619047616E-2</v>
      </c>
      <c r="G6" s="33">
        <v>9</v>
      </c>
    </row>
    <row r="7" spans="2:14" x14ac:dyDescent="0.3">
      <c r="B7" s="21" t="s">
        <v>87</v>
      </c>
      <c r="C7" s="22">
        <v>90</v>
      </c>
      <c r="D7" s="23">
        <f t="shared" si="0"/>
        <v>5.4945054945054944E-2</v>
      </c>
      <c r="G7" s="33">
        <v>8</v>
      </c>
    </row>
    <row r="8" spans="2:14" x14ac:dyDescent="0.3">
      <c r="B8" s="21" t="s">
        <v>88</v>
      </c>
      <c r="C8" s="22">
        <v>70</v>
      </c>
      <c r="D8" s="23">
        <f t="shared" si="0"/>
        <v>4.2735042735042736E-2</v>
      </c>
      <c r="G8" s="33">
        <v>7</v>
      </c>
    </row>
    <row r="9" spans="2:14" x14ac:dyDescent="0.3">
      <c r="B9" s="24" t="s">
        <v>90</v>
      </c>
      <c r="C9" s="22">
        <f>SUM(C5:C8)</f>
        <v>1638</v>
      </c>
      <c r="D9" s="21">
        <f t="shared" si="0"/>
        <v>1</v>
      </c>
      <c r="G9" s="33">
        <v>6</v>
      </c>
    </row>
    <row r="10" spans="2:14" x14ac:dyDescent="0.3">
      <c r="G10" s="33">
        <v>5</v>
      </c>
    </row>
    <row r="11" spans="2:14" x14ac:dyDescent="0.3">
      <c r="D11" s="26"/>
      <c r="G11" s="33">
        <v>5</v>
      </c>
    </row>
    <row r="12" spans="2:14" x14ac:dyDescent="0.3">
      <c r="G12" s="33">
        <v>4</v>
      </c>
    </row>
    <row r="13" spans="2:14" x14ac:dyDescent="0.3">
      <c r="G13" s="33">
        <v>3</v>
      </c>
      <c r="I13" s="34">
        <v>10</v>
      </c>
    </row>
    <row r="14" spans="2:14" x14ac:dyDescent="0.3">
      <c r="G14" s="33">
        <v>2</v>
      </c>
      <c r="I14" s="34">
        <v>5</v>
      </c>
    </row>
    <row r="15" spans="2:14" x14ac:dyDescent="0.3">
      <c r="G15" s="33">
        <v>1</v>
      </c>
      <c r="I15" s="34">
        <v>1</v>
      </c>
      <c r="K15" s="35">
        <v>4</v>
      </c>
      <c r="L15" s="36">
        <v>6</v>
      </c>
      <c r="M15" s="36">
        <v>8</v>
      </c>
      <c r="N15" s="37">
        <v>10</v>
      </c>
    </row>
    <row r="17" spans="7:14" x14ac:dyDescent="0.3">
      <c r="G17" s="30"/>
    </row>
    <row r="18" spans="7:14" x14ac:dyDescent="0.3">
      <c r="I18" s="30"/>
      <c r="J18" t="s">
        <v>92</v>
      </c>
      <c r="K18" s="38">
        <v>8</v>
      </c>
      <c r="L18" s="38"/>
      <c r="M18" s="38"/>
      <c r="N18" s="38"/>
    </row>
    <row r="19" spans="7:14" x14ac:dyDescent="0.3">
      <c r="K19" s="38"/>
      <c r="L19" s="38"/>
      <c r="M19" s="38"/>
      <c r="N19" s="38"/>
    </row>
  </sheetData>
  <mergeCells count="1">
    <mergeCell ref="K18:N19"/>
  </mergeCells>
  <conditionalFormatting sqref="C5:C8">
    <cfRule type="colorScale" priority="4">
      <colorScale>
        <cfvo type="min"/>
        <cfvo type="num" val="100"/>
        <cfvo type="max"/>
        <color rgb="FFF8696B"/>
        <color rgb="FFFFEB84"/>
        <color rgb="FF63BE7B"/>
      </colorScale>
    </cfRule>
  </conditionalFormatting>
  <conditionalFormatting sqref="D5:D8">
    <cfRule type="colorScale" priority="5">
      <colorScale>
        <cfvo type="min"/>
        <cfvo type="max"/>
        <color theme="8" tint="0.59999389629810485"/>
        <color rgb="FF63BE7B"/>
      </colorScale>
    </cfRule>
    <cfRule type="iconSet" priority="6">
      <iconSet iconSet="3TrafficLights2">
        <cfvo type="percent" val="0"/>
        <cfvo type="percent" val="33"/>
        <cfvo type="percent" val="67"/>
      </iconSet>
    </cfRule>
  </conditionalFormatting>
  <conditionalFormatting sqref="G5:G15">
    <cfRule type="expression" dxfId="3" priority="3">
      <formula>$G$17&gt;$G$5:$G$15</formula>
    </cfRule>
  </conditionalFormatting>
  <conditionalFormatting sqref="I13">
    <cfRule type="expression" dxfId="1" priority="2">
      <formula>$I$13:$I$15&gt;=$I$18</formula>
    </cfRule>
  </conditionalFormatting>
  <conditionalFormatting sqref="K15:N15">
    <cfRule type="expression" dxfId="0" priority="1">
      <formula>$K$15:$N$15 &gt;=$K$18</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60FE4-F00B-47C1-AD31-6530E807C44C}">
  <dimension ref="E4:G8"/>
  <sheetViews>
    <sheetView workbookViewId="0">
      <selection activeCell="I3" sqref="E3:I13"/>
    </sheetView>
  </sheetViews>
  <sheetFormatPr defaultRowHeight="14.4" x14ac:dyDescent="0.3"/>
  <cols>
    <col min="6" max="6" width="11" bestFit="1" customWidth="1"/>
  </cols>
  <sheetData>
    <row r="4" spans="5:7" x14ac:dyDescent="0.3">
      <c r="E4" s="31"/>
      <c r="F4" s="31"/>
    </row>
    <row r="5" spans="5:7" x14ac:dyDescent="0.3">
      <c r="F5" s="29"/>
      <c r="G5" s="29"/>
    </row>
    <row r="6" spans="5:7" x14ac:dyDescent="0.3">
      <c r="E6" s="32"/>
      <c r="F6" s="1"/>
      <c r="G6" s="1"/>
    </row>
    <row r="7" spans="5:7" x14ac:dyDescent="0.3">
      <c r="E7" s="32"/>
      <c r="F7" s="1"/>
      <c r="G7" s="1"/>
    </row>
    <row r="8" spans="5:7" x14ac:dyDescent="0.3">
      <c r="E8" s="32"/>
      <c r="F8" s="1"/>
      <c r="G8" s="1"/>
    </row>
  </sheetData>
  <mergeCells count="1">
    <mergeCell ref="E4:F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7EBAD9F7-20F9-4DD8-B5A1-D8BE043A97CF}">
  <ds:schemaRefs/>
</ds:datastoreItem>
</file>

<file path=customXml/itemProps2.xml><?xml version="1.0" encoding="utf-8"?>
<ds:datastoreItem xmlns:ds="http://schemas.openxmlformats.org/officeDocument/2006/customXml" ds:itemID="{0C683F7F-38FA-452A-B137-2BE4C456C086}">
  <ds:schemaRefs/>
</ds:datastoreItem>
</file>

<file path=customXml/itemProps3.xml><?xml version="1.0" encoding="utf-8"?>
<ds:datastoreItem xmlns:ds="http://schemas.openxmlformats.org/officeDocument/2006/customXml" ds:itemID="{009A43EF-AB09-4DF7-BCBD-BD0B054FA1A7}">
  <ds:schemaRefs/>
</ds:datastoreItem>
</file>

<file path=customXml/itemProps4.xml><?xml version="1.0" encoding="utf-8"?>
<ds:datastoreItem xmlns:ds="http://schemas.openxmlformats.org/officeDocument/2006/customXml" ds:itemID="{62B2A0ED-C6CC-4EFC-AA6E-CE4344ECBA17}">
  <ds:schemaRefs/>
</ds:datastoreItem>
</file>

<file path=customXml/itemProps5.xml><?xml version="1.0" encoding="utf-8"?>
<ds:datastoreItem xmlns:ds="http://schemas.openxmlformats.org/officeDocument/2006/customXml" ds:itemID="{1726B34E-27E4-44AF-B32B-538A89F891D7}">
  <ds:schemaRefs/>
</ds:datastoreItem>
</file>

<file path=customXml/itemProps6.xml><?xml version="1.0" encoding="utf-8"?>
<ds:datastoreItem xmlns:ds="http://schemas.openxmlformats.org/officeDocument/2006/customXml" ds:itemID="{9AFCE036-CB70-4BEA-9D4F-DEFD2F183AF4}">
  <ds:schemaRefs/>
</ds:datastoreItem>
</file>

<file path=customXml/itemProps7.xml><?xml version="1.0" encoding="utf-8"?>
<ds:datastoreItem xmlns:ds="http://schemas.openxmlformats.org/officeDocument/2006/customXml" ds:itemID="{38E109C5-2E84-4F87-B114-B2909FDD7E92}">
  <ds:schemaRefs/>
</ds:datastoreItem>
</file>

<file path=customXml/itemProps8.xml><?xml version="1.0" encoding="utf-8"?>
<ds:datastoreItem xmlns:ds="http://schemas.openxmlformats.org/officeDocument/2006/customXml" ds:itemID="{2602C3D6-1CC3-4E3C-9976-E98BBA07608A}">
  <ds:schemaRefs/>
</ds:datastoreItem>
</file>

<file path=customXml/itemProps9.xml><?xml version="1.0" encoding="utf-8"?>
<ds:datastoreItem xmlns:ds="http://schemas.openxmlformats.org/officeDocument/2006/customXml" ds:itemID="{E3BFA8F2-3794-431F-9EB3-21512B27BFD5}">
  <ds:schemaRefs/>
</ds:datastoreItem>
</file>

<file path=customXml/itemProps10.xml><?xml version="1.0" encoding="utf-8"?>
<ds:datastoreItem xmlns:ds="http://schemas.openxmlformats.org/officeDocument/2006/customXml" ds:itemID="{B395E832-2FB1-4FCC-8347-BC626FE079C4}">
  <ds:schemaRefs/>
</ds:datastoreItem>
</file>

<file path=customXml/itemProps11.xml><?xml version="1.0" encoding="utf-8"?>
<ds:datastoreItem xmlns:ds="http://schemas.openxmlformats.org/officeDocument/2006/customXml" ds:itemID="{BC246F50-D6F7-44C6-B8B9-1DFA91E983AB}">
  <ds:schemaRefs/>
</ds:datastoreItem>
</file>

<file path=customXml/itemProps12.xml><?xml version="1.0" encoding="utf-8"?>
<ds:datastoreItem xmlns:ds="http://schemas.openxmlformats.org/officeDocument/2006/customXml" ds:itemID="{0092E684-A59A-4104-A123-0A01CF8CC963}">
  <ds:schemaRefs/>
</ds:datastoreItem>
</file>

<file path=customXml/itemProps13.xml><?xml version="1.0" encoding="utf-8"?>
<ds:datastoreItem xmlns:ds="http://schemas.openxmlformats.org/officeDocument/2006/customXml" ds:itemID="{A9D16D73-DF80-4591-8AB4-5AF50CD0432F}">
  <ds:schemaRefs/>
</ds:datastoreItem>
</file>

<file path=customXml/itemProps14.xml><?xml version="1.0" encoding="utf-8"?>
<ds:datastoreItem xmlns:ds="http://schemas.openxmlformats.org/officeDocument/2006/customXml" ds:itemID="{AD81E317-133D-4269-AD8E-F0B60817F787}">
  <ds:schemaRefs/>
</ds:datastoreItem>
</file>

<file path=customXml/itemProps15.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16.xml><?xml version="1.0" encoding="utf-8"?>
<ds:datastoreItem xmlns:ds="http://schemas.openxmlformats.org/officeDocument/2006/customXml" ds:itemID="{B51FFAB7-8A72-460A-905A-E4369F52DD03}">
  <ds:schemaRefs/>
</ds:datastoreItem>
</file>

<file path=customXml/itemProps17.xml><?xml version="1.0" encoding="utf-8"?>
<ds:datastoreItem xmlns:ds="http://schemas.openxmlformats.org/officeDocument/2006/customXml" ds:itemID="{8D614C0A-C1D5-4131-B799-8087D62F9D8C}">
  <ds:schemaRefs/>
</ds:datastoreItem>
</file>

<file path=customXml/itemProps18.xml><?xml version="1.0" encoding="utf-8"?>
<ds:datastoreItem xmlns:ds="http://schemas.openxmlformats.org/officeDocument/2006/customXml" ds:itemID="{AEAAFECA-2DE4-4B02-AD25-A0FB5A56E772}">
  <ds:schemaRefs/>
</ds:datastoreItem>
</file>

<file path=customXml/itemProps19.xml><?xml version="1.0" encoding="utf-8"?>
<ds:datastoreItem xmlns:ds="http://schemas.openxmlformats.org/officeDocument/2006/customXml" ds:itemID="{EA216088-64F2-4B38-88C8-2BB51C84CDE2}">
  <ds:schemaRefs/>
</ds:datastoreItem>
</file>

<file path=customXml/itemProps20.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21.xml><?xml version="1.0" encoding="utf-8"?>
<ds:datastoreItem xmlns:ds="http://schemas.openxmlformats.org/officeDocument/2006/customXml" ds:itemID="{D1CDC618-B7E4-42ED-9136-887556D3E8F6}">
  <ds:schemaRefs/>
</ds:datastoreItem>
</file>

<file path=customXml/itemProps22.xml><?xml version="1.0" encoding="utf-8"?>
<ds:datastoreItem xmlns:ds="http://schemas.openxmlformats.org/officeDocument/2006/customXml" ds:itemID="{F983B97C-63D1-4E74-B3D4-7D94D857A85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pivot table</vt:lpstr>
      <vt:lpstr>trades</vt:lpstr>
      <vt:lpstr>traders</vt:lpstr>
      <vt:lpstr>client </vt:lpstr>
      <vt:lpstr>productname</vt:lpstr>
      <vt:lpstr>invoice</vt:lpstr>
      <vt:lpstr>salesman</vt:lpstr>
      <vt:lpstr>Sheet1</vt:lpstr>
      <vt:lpstr>products</vt:lpstr>
      <vt:lpstr>dashboard</vt:lpstr>
      <vt:lpstr>pivot table sales</vt:lpstr>
      <vt:lpstr>data raw sales</vt:lpstr>
      <vt:lpstr>conditional</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2026-10-13T22:00:49Z</dcterms:modified>
</cp:coreProperties>
</file>