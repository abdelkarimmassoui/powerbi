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91E13428-E290-4F3B-B2D0-93025C1D9B09}" xr6:coauthVersionLast="47" xr6:coauthVersionMax="47" xr10:uidLastSave="{00000000-0000-0000-0000-000000000000}"/>
  <bookViews>
    <workbookView xWindow="-108" yWindow="-108" windowWidth="23256" windowHeight="12456" tabRatio="705" activeTab="6"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products" sheetId="11" r:id="rId8"/>
    <sheet name="dashboard" sheetId="9" r:id="rId9"/>
    <sheet name="pivot table sales" sheetId="8" r:id="rId10"/>
    <sheet name="data raw sales" sheetId="7" r:id="rId11"/>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2"/>
    <pivotCache cacheId="1" r:id="rId13"/>
  </pivotCaches>
  <extLs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2" i="7" l="1"/>
  <c r="A3" i="6"/>
  <c r="A4" i="6"/>
  <c r="A5" i="6"/>
  <c r="A6" i="6"/>
  <c r="A7" i="6"/>
  <c r="A8" i="6"/>
  <c r="L58" i="8"/>
  <c r="E58" i="8"/>
  <c r="B58" i="8"/>
  <c r="O58" i="8"/>
  <c r="I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<sst xmlns="http://schemas.openxmlformats.org/spreadsheetml/2006/main" count="281" uniqueCount="86">
  <si>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</si>
  <si>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</si>
  <si>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</si>
  <si>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</si>
  <si>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</si>
  <si>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</si>
  <si>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</si>
  <si>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</si>
  <si>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</si>
  <si>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</si>
  <si>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</si>
  <si>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</si>
  <si>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</si>
  <si>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</si>
  <si>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</si>
  <si>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</si>
  <si>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</si>
  <si>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</si>
  <si>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</si>
  <si>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</si>
  <si>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</si>
  <si>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</si>
  <si>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</si>
  <si>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</si>
  <si>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</si>
  <si>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</si>
  <si>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</si>
  <si>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</si>
  <si>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</si>
  <si>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</si>
  <si>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</si>
  <si>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</si>
  <si>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</si>
  <si>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</si>
  <si>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</si>
  <si>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</si>
  <si>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</si>
  <si>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</si>
  <si>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</si>
  <si>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</si>
  <si>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</si>
  <si>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</si>
  <si>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</si>
  <si>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</si>
  <si>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</si>
  <si>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</si>
  <si>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</si>
  <si>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</si>
  <si>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</si>
  <si>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</si>
  <si>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</si>
  <si>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</si>
  <si>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</si>
  <si>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</si>
  <si>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</si>
  <si>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</si>
  <si>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</si>
  <si>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</si>
  <si>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</si>
  <si>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</si>
  <si>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</si>
  <si>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</si>
  <si>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</si>
  <si>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</si>
  <si>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</si>
  <si>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</si>
  <si>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</si>
  <si>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</si>
  <si>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</si>
  <si>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</si>
  <si>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</si>
  <si>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</si>
  <si>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</si>
  <si>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</si>
  <si>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</si>
  <si>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</si>
  <si>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</si>
  <si>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</si>
  <si>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</si>
  <si>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</si>
  <si>
    <t>Feb</t>
  </si>
  <si>
    <t>hamid taha</t>
  </si>
  <si>
    <t>milano</t>
  </si>
  <si>
    <t>gamer</t>
  </si>
  <si>
    <t>Mar</t>
  </si>
  <si>
    <t>Average of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</si>
</sst>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1"/>
      <color theme="1"/>
      <name val="Aptos Narrow"/>
      <family val="2"/>
      <scheme val="minor"/>
    </font>
    <font>
      <sz val="20"/>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49">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48"/>
    </tableStyle>
    <tableStyle name="lala" pivot="0" table="0" count="8" xr9:uid="{DD81CD64-2808-4CEA-9C01-4180B4801163}">
      <tableStyleElement type="wholeTable" dxfId="47"/>
      <tableStyleElement type="headerRow" dxfId="46"/>
    </tableStyle>
    <tableStyle name="lamina" pivot="0" table="0" count="1" xr9:uid="{D385192D-4717-4737-8E8C-886C505036D0}"/>
    <tableStyle name="lanini" pivot="0" table="0" count="2" xr9:uid="{40C6B56F-A003-4D3F-B525-E38E98C3907E}">
      <tableStyleElement type="wholeTable" dxfId="45"/>
    </tableStyle>
    <tableStyle name="Timeline Style 1" pivot="0" table="0" count="8" xr9:uid="{9B0A14E2-3CD1-4B19-8553-57CECB3028D8}">
      <tableStyleElement type="wholeTable" dxfId="44"/>
      <tableStyleElement type="headerRow" dxfId="43"/>
    </tableStyle>
    <tableStyle name="Timeline Style 2" pivot="0" table="0" count="8" xr9:uid="{49D621C8-D30B-4E29-85D1-6A8B15CAF539}">
      <tableStyleElement type="wholeTable" dxfId="42"/>
      <tableStyleElement type="headerRow" dxfId="41"/>
    </tableStyle>
    <tableStyle name="Timeline Style 3" pivot="0" table="0" count="8" xr9:uid="{258C9365-08EF-4D0A-89CD-E9F7EBD3F908}">
      <tableStyleElement type="wholeTable" dxfId="40"/>
      <tableStyleElement type="headerRow" dxfId="39"/>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5" Type="http://schemas.openxmlformats.org/officeDocument/2006/relationships/worksheet" Target="worksheets/sheet5.xml"/><Relationship Id="rId15" Type="http://schemas.microsoft.com/office/2011/relationships/timelineCache" Target="timelineCaches/timeline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worksheet" Target="worksheets/sheet10.xml"/><Relationship Id="rId19" Type="http://schemas.openxmlformats.org/officeDocument/2006/relationships/sharedStrings" Target="sharedStrings.xml"/><Relationship Id="rId31" Type="http://schemas.openxmlformats.org/officeDocument/2006/relationships/customXml" Target="../customXml/item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sales'!$D$5:$D$12</c:f>
              <c:strCache>
                <c:ptCount val="7"/>
                <c:pt idx="0">
                  <c:v>Ahmed Said</c:v>
                </c:pt>
                <c:pt idx="1">
                  <c:v>Ali Ramadan</c:v>
                </c:pt>
                <c:pt idx="2">
                  <c:v>Ashraf Zaki</c:v>
                </c:pt>
                <c:pt idx="3">
                  <c:v>Fathy Ali</c:v>
                </c:pt>
                <c:pt idx="4">
                  <c:v>Khaled Hassan</c:v>
                </c:pt>
                <c:pt idx="5">
                  <c:v>Tamer Mohamed</c:v>
                </c:pt>
                <c:pt idx="6">
                  <c:v>hamid taha</c:v>
                </c:pt>
              </c:strCache>
            </c:strRef>
          </c:cat>
          <c:val>
            <c:numRef>
              <c:f>'pivot table sales'!$E$5:$E$12</c:f>
              <c:numCache>
                <c:formatCode>General</c:formatCode>
                <c:ptCount val="7"/>
                <c:pt idx="0">
                  <c:v>44190</c:v>
                </c:pt>
                <c:pt idx="1">
                  <c:v>66010</c:v>
                </c:pt>
                <c:pt idx="2">
                  <c:v>121600</c:v>
                </c:pt>
                <c:pt idx="3">
                  <c:v>123820</c:v>
                </c:pt>
                <c:pt idx="4">
                  <c:v>39400</c:v>
                </c:pt>
                <c:pt idx="5">
                  <c:v>31510</c:v>
                </c:pt>
                <c:pt idx="6">
                  <c:v>168</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60000"/>
              <a:lumOff val="40000"/>
            </a:schemeClr>
          </a:solidFill>
          <a:ln>
            <a:noFill/>
          </a:ln>
          <a:effectLst/>
        </c:spPr>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sales'!$D$36:$D$39</c:f>
              <c:strCache>
                <c:ptCount val="3"/>
                <c:pt idx="0">
                  <c:v>Fathy Ali</c:v>
                </c:pt>
                <c:pt idx="1">
                  <c:v>Ashraf Zaki</c:v>
                </c:pt>
                <c:pt idx="2">
                  <c:v>Ali Ramadan</c:v>
                </c:pt>
              </c:strCache>
            </c:strRef>
          </c:cat>
          <c:val>
            <c:numRef>
              <c:f>'pivot table sales'!$E$36:$E$39</c:f>
              <c:numCache>
                <c:formatCode>General</c:formatCode>
                <c:ptCount val="3"/>
                <c:pt idx="0">
                  <c:v>123820</c:v>
                </c:pt>
                <c:pt idx="1">
                  <c:v>121600</c:v>
                </c:pt>
                <c:pt idx="2">
                  <c:v>66010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sales'!$H$5:$H$8</c:f>
              <c:strCache>
                <c:ptCount val="3"/>
                <c:pt idx="0">
                  <c:v>Jan</c:v>
                </c:pt>
                <c:pt idx="1">
                  <c:v>Feb</c:v>
                </c:pt>
                <c:pt idx="2">
                  <c:v>Mar</c:v>
                </c:pt>
              </c:strCache>
            </c:strRef>
          </c:cat>
          <c:val>
            <c:numRef>
              <c:f>'pivot table sales'!$I$5:$I$8</c:f>
              <c:numCache>
                <c:formatCode>General</c:formatCode>
                <c:ptCount val="3"/>
                <c:pt idx="0">
                  <c:v>290180</c:v>
                </c:pt>
                <c:pt idx="1">
                  <c:v>136350</c:v>
                </c:pt>
                <c:pt idx="2">
                  <c:v>168</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sales'!$D$36:$D$39</c:f>
              <c:strCache>
                <c:ptCount val="3"/>
                <c:pt idx="0">
                  <c:v>Fathy Ali</c:v>
                </c:pt>
                <c:pt idx="1">
                  <c:v>Ashraf Zaki</c:v>
                </c:pt>
                <c:pt idx="2">
                  <c:v>Ali Ramadan</c:v>
                </c:pt>
              </c:strCache>
            </c:strRef>
          </c:cat>
          <c:val>
            <c:numRef>
              <c:f>'pivot table sales'!$E$36:$E$39</c:f>
              <c:numCache>
                <c:formatCode>General</c:formatCode>
                <c:ptCount val="3"/>
                <c:pt idx="0">
                  <c:v>123820</c:v>
                </c:pt>
                <c:pt idx="1">
                  <c:v>121600</c:v>
                </c:pt>
                <c:pt idx="2">
                  <c:v>66010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426698</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10407.26829</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41</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68000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168</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426698</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10407.26829</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41</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68000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168</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426698</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10407.26829</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41</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68000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168</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2.779738657409"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2.779744212959" createdVersion="8" refreshedVersion="8" minRefreshableVersion="3" recordCount="41" xr:uid="{D641DFE7-4C15-4723-BED5-80B09CEFB3D8}">
  <cacheSource type="worksheet">
    <worksheetSource name="dataraw"/>
  </cacheSource>
  <cacheFields count="10">
    <cacheField name="S No" numFmtId="0">
      <sharedItems containsSemiMixedTypes="0" containsString="0" containsNumber="1" containsInteger="1" minValue="1" maxValue="41"/>
    </cacheField>
    <cacheField name="Date" numFmtId="14">
      <sharedItems containsSemiMixedTypes="0" containsNonDate="0" containsDate="1" containsString="0" minDate="2023-01-01T00:00:00" maxDate="2023-03-20T00:00:00" count="41">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3-19T00:00:00"/>
      </sharedItems>
      <fieldGroup par="9"/>
    </cacheField>
    <cacheField name="Salesman" numFmtId="0">
      <sharedItems count="7">
        <s v="Ahmed Said"/>
        <s v="Ali Ramadan"/>
        <s v="Ashraf Zaki"/>
        <s v="Fathy Ali"/>
        <s v="Tamer Mohamed"/>
        <s v="Khaled Hassan"/>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1"/>
    <x v="40"/>
    <x v="6"/>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23"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8"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x="8"/>
        <item x="6"/>
        <item x="7"/>
        <item x="3"/>
        <item x="5"/>
        <item x="0"/>
        <item x="2"/>
        <item x="1"/>
        <item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4">
    <i>
      <x v="1"/>
    </i>
    <i>
      <x v="2"/>
    </i>
    <i>
      <x v="3"/>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measureFilter="1" sortType="descending">
      <items count="10">
        <item x="4"/>
        <item x="1"/>
        <item x="2"/>
        <item x="0"/>
        <item x="5"/>
        <item x="3"/>
        <item x="7"/>
        <item x="6"/>
        <item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4">
    <i>
      <x v="5"/>
    </i>
    <i>
      <x v="2"/>
    </i>
    <i>
      <x v="4"/>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1085"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 fld="4" type="count" evalOrder="-1" id="77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8"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8">
    <i>
      <x/>
    </i>
    <i>
      <x v="1"/>
    </i>
    <i>
      <x v="2"/>
    </i>
    <i>
      <x v="3"/>
    </i>
    <i>
      <x v="4"/>
    </i>
    <i>
      <x v="5"/>
    </i>
    <i>
      <x v="6"/>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8"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14"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measureFilter="1" sortType="descending">
      <items count="8">
        <item x="4"/>
        <item x="5"/>
        <item x="6"/>
        <item x="3"/>
        <item x="2"/>
        <item x="1"/>
        <item x="0"/>
        <item t="default"/>
      </items>
    </pivotField>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v="3"/>
    </i>
    <i>
      <x v="4"/>
    </i>
    <i>
      <x v="5"/>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filters count="2">
    <filter fld="1" type="dateBetween" evalOrder="-1" id="1083"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12"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8">
    <i>
      <x/>
    </i>
    <i>
      <x v="1"/>
    </i>
    <i>
      <x v="2"/>
    </i>
    <i>
      <x v="3"/>
    </i>
    <i>
      <x v="4"/>
    </i>
    <i>
      <x v="5"/>
    </i>
    <i>
      <x v="6"/>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s>
  <data>
    <tabular pivotCacheId="2123660732">
      <items count="9">
        <i x="8" s="1"/>
        <i x="6" s="1"/>
        <i x="7" s="1"/>
        <i x="3" s="1"/>
        <i x="5" s="1"/>
        <i x="0"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38" headerRowBorderDxfId="37" tableBorderDxfId="36" totalsRowBorderDxfId="35">
  <autoFilter ref="A2:C8" xr:uid="{E9E678CC-A933-4146-A266-8561FE66B063}"/>
  <tableColumns count="3">
    <tableColumn id="1" xr3:uid="{F9EC0535-D2ED-4975-8C35-424457CA2DE6}" name="tradeid" dataDxfId="34"/>
    <tableColumn id="2" xr3:uid="{9B8BB1FC-668E-49CD-A8D7-420D207088F2}" name="pair" dataDxfId="33"/>
    <tableColumn id="3" xr3:uid="{5E681BDC-3DC3-4516-B864-5D0AE1542D9F}" name="profit"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31" headerRowBorderDxfId="30" tableBorderDxfId="29" totalsRowBorderDxfId="28">
  <autoFilter ref="A2:C6" xr:uid="{96F793BC-B311-4CDF-8DA7-E3AEA6D0D526}"/>
  <tableColumns count="3">
    <tableColumn id="1" xr3:uid="{68D02487-9EAC-4BB9-9D4A-0CE1E96851CB}" name="tradeid" dataDxfId="27"/>
    <tableColumn id="2" xr3:uid="{12D66D41-0E62-41A4-A2C5-9DF9CB0EA836}" name="name" dataDxfId="26"/>
    <tableColumn id="3" xr3:uid="{A9438FDE-5ADC-4819-BD3E-00588951190F}" name="lastname" dataDxfId="2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24" headerRowBorderDxfId="23" tableBorderDxfId="22" totalsRowBorderDxfId="21">
  <autoFilter ref="A2:D9" xr:uid="{2486897B-78D6-4FF7-8650-B8C9CDD52BAE}"/>
  <tableColumns count="4">
    <tableColumn id="1" xr3:uid="{777E8C10-BE98-4358-9481-1AB4CFB9A947}" name="clientid" dataDxfId="20"/>
    <tableColumn id="2" xr3:uid="{9A2DEB65-468F-480B-BEF5-AAF8ED365379}" name="name" dataDxfId="19"/>
    <tableColumn id="3" xr3:uid="{1B7491DC-0A23-4566-9F79-D44ECFF3B165}" name="lastname" dataDxfId="18"/>
    <tableColumn id="4" xr3:uid="{58765888-333D-4334-BE18-C549AC0D18CF}" name="country" dataDxfId="1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16" headerRowBorderDxfId="15" tableBorderDxfId="14" totalsRowBorderDxfId="13">
  <autoFilter ref="A3:C7" xr:uid="{C0EB578E-3BC9-41F0-B814-7E123E6A73E4}"/>
  <tableColumns count="3">
    <tableColumn id="1" xr3:uid="{FE9B4DCD-B79F-4AB2-B0AD-10867D1DB9EB}" name="productname" dataDxfId="12"/>
    <tableColumn id="2" xr3:uid="{D9CDEBC8-2AA4-4242-B5E9-CB8A496F4F5C}" name="price" dataDxfId="11"/>
    <tableColumn id="3" xr3:uid="{79BDE64B-CC2F-4093-A1AC-E9408397D3C3}" name="qte" dataDxfId="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9" headerRowBorderDxfId="8" tableBorderDxfId="7" totalsRowBorderDxfId="6">
  <autoFilter ref="A2:C8" xr:uid="{4A9A0CE0-CDE1-4E4A-B9CB-B28BAE8443AB}"/>
  <tableColumns count="3">
    <tableColumn id="1" xr3:uid="{B6A7184C-BE63-4F0C-B6AE-738DB7257FFD}" name="date" dataDxfId="5">
      <calculatedColumnFormula>DATE(2026,10,5)</calculatedColumnFormula>
    </tableColumn>
    <tableColumn id="2" xr3:uid="{B4494D3F-AC50-4F95-AA82-23740AD1A282}" name="clientid" dataDxfId="4"/>
    <tableColumn id="3" xr3:uid="{CB7B7653-9379-419F-BB8E-37E09604FE44}" name="productname" dataDxfId="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2" totalsRowShown="0">
  <autoFilter ref="A1:H42" xr:uid="{5024BCAD-14FE-4CB7-8FC4-4DC9405A7D98}"/>
  <tableColumns count="8">
    <tableColumn id="1" xr3:uid="{496DC01D-C1B8-4F50-B198-021C6316EBB1}" name="S No"/>
    <tableColumn id="2" xr3:uid="{9D5EF8AD-7F70-4D2E-AAF2-AC2B5045BF09}" name="Date" dataDxfId="2"/>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1"/>
    <tableColumn id="8" xr3:uid="{ED0648F6-FD27-40AE-88F4-48D1D266766A}" name="Amoun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5-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2"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2"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2"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dimension ref="A2:C8"/>
  <sheetViews>
    <sheetView workbookViewId="0">
      <selection activeCell="E6" sqref="E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tabColor theme="9" tint="0.59999389629810485"/>
  </sheetPr>
  <dimension ref="A1"/>
  <sheetViews>
    <sheetView showGridLines="0" tabSelected="1" workbookViewId="0">
      <selection activeCell="W17" sqref="W1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tabColor theme="9" tint="0.39997558519241921"/>
  </sheetPr>
  <dimension ref="A1:O58"/>
  <sheetViews>
    <sheetView topLeftCell="A16" workbookViewId="0"/>
  </sheetViews>
  <sheetFormatPr defaultRowHeight="14.4" x14ac:dyDescent="0.3"/>
  <cols>
    <col min="1" max="1" width="9.5546875" bestFit="1" customWidth="1"/>
    <col min="2" max="2" width="14.664062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2" t="s">
        <v>78</v>
      </c>
      <c r="B1" s="22"/>
      <c r="C1" s="22"/>
      <c r="D1" s="22"/>
      <c r="E1" s="22"/>
    </row>
    <row r="2" spans="1:9" x14ac:dyDescent="0.3">
      <c r="A2" s="22"/>
      <c r="B2" s="22"/>
      <c r="C2" s="22"/>
      <c r="D2" s="22"/>
      <c r="E2" s="22"/>
    </row>
    <row r="4" spans="1:9" x14ac:dyDescent="0.3">
      <c r="A4" s="10" t="s">
        <v>70</v>
      </c>
      <c r="B4" t="s">
        <v>68</v>
      </c>
      <c r="D4" s="10" t="s">
        <v>69</v>
      </c>
      <c r="E4" t="s">
        <v>68</v>
      </c>
      <c r="H4" s="10" t="s">
        <v>70</v>
      </c>
      <c r="I4" t="s">
        <v>68</v>
      </c>
    </row>
    <row r="5" spans="1:9" x14ac:dyDescent="0.3">
      <c r="A5" s="11" t="s">
        <v>66</v>
      </c>
      <c r="B5" s="12">
        <v>3600</v>
      </c>
      <c r="D5" s="11" t="s">
        <v>50</v>
      </c>
      <c r="E5" s="12">
        <v>44190</v>
      </c>
      <c r="H5" s="11" t="s">
        <v>79</v>
      </c>
      <c r="I5" s="12">
        <v>290180</v>
      </c>
    </row>
    <row r="6" spans="1:9" x14ac:dyDescent="0.3">
      <c r="A6" s="11" t="s">
        <v>67</v>
      </c>
      <c r="B6" s="12">
        <v>3230</v>
      </c>
      <c r="D6" s="11" t="s">
        <v>53</v>
      </c>
      <c r="E6" s="12">
        <v>66010</v>
      </c>
      <c r="H6" s="11" t="s">
        <v>80</v>
      </c>
      <c r="I6" s="12">
        <v>136350</v>
      </c>
    </row>
    <row r="7" spans="1:9" x14ac:dyDescent="0.3">
      <c r="A7" s="11" t="s">
        <v>61</v>
      </c>
      <c r="B7" s="12">
        <v>306000</v>
      </c>
      <c r="D7" s="11" t="s">
        <v>56</v>
      </c>
      <c r="E7" s="12">
        <v>121600</v>
      </c>
      <c r="H7" s="11" t="s">
        <v>84</v>
      </c>
      <c r="I7" s="12">
        <v>168</v>
      </c>
    </row>
    <row r="8" spans="1:9" x14ac:dyDescent="0.3">
      <c r="A8" s="11" t="s">
        <v>65</v>
      </c>
      <c r="B8" s="12">
        <v>12000</v>
      </c>
      <c r="D8" s="11" t="s">
        <v>58</v>
      </c>
      <c r="E8" s="12">
        <v>123820</v>
      </c>
      <c r="H8" s="11" t="s">
        <v>14</v>
      </c>
      <c r="I8" s="12">
        <v>426698</v>
      </c>
    </row>
    <row r="9" spans="1:9" x14ac:dyDescent="0.3">
      <c r="A9" s="11" t="s">
        <v>52</v>
      </c>
      <c r="B9" s="12">
        <v>4200</v>
      </c>
      <c r="D9" s="11" t="s">
        <v>60</v>
      </c>
      <c r="E9" s="12">
        <v>39400</v>
      </c>
    </row>
    <row r="10" spans="1:9" x14ac:dyDescent="0.3">
      <c r="A10" s="11" t="s">
        <v>57</v>
      </c>
      <c r="B10" s="12">
        <v>79800</v>
      </c>
      <c r="D10" s="11" t="s">
        <v>59</v>
      </c>
      <c r="E10" s="12">
        <v>31510</v>
      </c>
    </row>
    <row r="11" spans="1:9" x14ac:dyDescent="0.3">
      <c r="A11" s="11" t="s">
        <v>55</v>
      </c>
      <c r="B11" s="12">
        <v>10500</v>
      </c>
      <c r="D11" s="11" t="s">
        <v>81</v>
      </c>
      <c r="E11" s="12">
        <v>168</v>
      </c>
    </row>
    <row r="12" spans="1:9" x14ac:dyDescent="0.3">
      <c r="A12" s="11" t="s">
        <v>63</v>
      </c>
      <c r="B12" s="12">
        <v>7200</v>
      </c>
      <c r="D12" s="11" t="s">
        <v>14</v>
      </c>
      <c r="E12" s="12">
        <v>426698</v>
      </c>
    </row>
    <row r="13" spans="1:9" x14ac:dyDescent="0.3">
      <c r="A13" s="11" t="s">
        <v>83</v>
      </c>
      <c r="B13" s="12">
        <v>168</v>
      </c>
      <c r="H13" s="10" t="s">
        <v>70</v>
      </c>
      <c r="I13" t="s">
        <v>85</v>
      </c>
    </row>
    <row r="14" spans="1:9" x14ac:dyDescent="0.3">
      <c r="A14" s="11" t="s">
        <v>14</v>
      </c>
      <c r="B14" s="12">
        <v>426698</v>
      </c>
      <c r="H14" s="11" t="s">
        <v>66</v>
      </c>
      <c r="I14" s="12">
        <v>450</v>
      </c>
    </row>
    <row r="15" spans="1:9" x14ac:dyDescent="0.3">
      <c r="H15" s="11" t="s">
        <v>67</v>
      </c>
      <c r="I15" s="12">
        <v>190</v>
      </c>
    </row>
    <row r="16" spans="1:9" x14ac:dyDescent="0.3">
      <c r="H16" s="11" t="s">
        <v>61</v>
      </c>
      <c r="I16" s="12">
        <v>8500</v>
      </c>
    </row>
    <row r="17" spans="1:9" x14ac:dyDescent="0.3">
      <c r="H17" s="11" t="s">
        <v>65</v>
      </c>
      <c r="I17" s="12">
        <v>1200</v>
      </c>
    </row>
    <row r="18" spans="1:9" x14ac:dyDescent="0.3">
      <c r="A18" s="10" t="s">
        <v>70</v>
      </c>
      <c r="B18" t="s">
        <v>71</v>
      </c>
      <c r="H18" s="11" t="s">
        <v>52</v>
      </c>
      <c r="I18" s="12">
        <v>210</v>
      </c>
    </row>
    <row r="19" spans="1:9" x14ac:dyDescent="0.3">
      <c r="A19" s="11" t="s">
        <v>66</v>
      </c>
      <c r="B19" s="12">
        <v>2</v>
      </c>
      <c r="H19" s="11" t="s">
        <v>57</v>
      </c>
      <c r="I19" s="12">
        <v>2100</v>
      </c>
    </row>
    <row r="20" spans="1:9" x14ac:dyDescent="0.3">
      <c r="A20" s="11" t="s">
        <v>67</v>
      </c>
      <c r="B20" s="12">
        <v>5</v>
      </c>
      <c r="D20" s="10" t="s">
        <v>69</v>
      </c>
      <c r="E20" t="s">
        <v>71</v>
      </c>
      <c r="H20" s="11" t="s">
        <v>55</v>
      </c>
      <c r="I20" s="12">
        <v>1500</v>
      </c>
    </row>
    <row r="21" spans="1:9" x14ac:dyDescent="0.3">
      <c r="A21" s="11" t="s">
        <v>61</v>
      </c>
      <c r="B21" s="12">
        <v>7</v>
      </c>
      <c r="D21" s="11" t="s">
        <v>50</v>
      </c>
      <c r="E21" s="12">
        <v>7</v>
      </c>
      <c r="H21" s="11" t="s">
        <v>63</v>
      </c>
      <c r="I21" s="12">
        <v>300</v>
      </c>
    </row>
    <row r="22" spans="1:9" x14ac:dyDescent="0.3">
      <c r="A22" s="11" t="s">
        <v>65</v>
      </c>
      <c r="B22" s="12">
        <v>2</v>
      </c>
      <c r="D22" s="11" t="s">
        <v>53</v>
      </c>
      <c r="E22" s="12">
        <v>7</v>
      </c>
      <c r="H22" s="11" t="s">
        <v>83</v>
      </c>
      <c r="I22" s="12">
        <v>56</v>
      </c>
    </row>
    <row r="23" spans="1:9" x14ac:dyDescent="0.3">
      <c r="A23" s="11" t="s">
        <v>52</v>
      </c>
      <c r="B23" s="12">
        <v>5</v>
      </c>
      <c r="D23" s="11" t="s">
        <v>56</v>
      </c>
      <c r="E23" s="12">
        <v>7</v>
      </c>
      <c r="H23" s="11" t="s">
        <v>14</v>
      </c>
      <c r="I23" s="12">
        <v>2159.9024390243903</v>
      </c>
    </row>
    <row r="24" spans="1:9" x14ac:dyDescent="0.3">
      <c r="A24" s="11" t="s">
        <v>57</v>
      </c>
      <c r="B24" s="12">
        <v>8</v>
      </c>
      <c r="D24" s="11" t="s">
        <v>58</v>
      </c>
      <c r="E24" s="12">
        <v>7</v>
      </c>
    </row>
    <row r="25" spans="1:9" x14ac:dyDescent="0.3">
      <c r="A25" s="11" t="s">
        <v>55</v>
      </c>
      <c r="B25" s="12">
        <v>3</v>
      </c>
      <c r="D25" s="11" t="s">
        <v>60</v>
      </c>
      <c r="E25" s="12">
        <v>6</v>
      </c>
    </row>
    <row r="26" spans="1:9" x14ac:dyDescent="0.3">
      <c r="A26" s="11" t="s">
        <v>63</v>
      </c>
      <c r="B26" s="12">
        <v>8</v>
      </c>
      <c r="D26" s="11" t="s">
        <v>59</v>
      </c>
      <c r="E26" s="12">
        <v>6</v>
      </c>
    </row>
    <row r="27" spans="1:9" x14ac:dyDescent="0.3">
      <c r="A27" s="11" t="s">
        <v>83</v>
      </c>
      <c r="B27" s="12">
        <v>1</v>
      </c>
      <c r="D27" s="11" t="s">
        <v>81</v>
      </c>
      <c r="E27" s="12">
        <v>1</v>
      </c>
    </row>
    <row r="28" spans="1:9" x14ac:dyDescent="0.3">
      <c r="A28" s="11" t="s">
        <v>14</v>
      </c>
      <c r="B28" s="12">
        <v>41</v>
      </c>
      <c r="D28" s="11" t="s">
        <v>14</v>
      </c>
      <c r="E28" s="12">
        <v>41</v>
      </c>
    </row>
    <row r="35" spans="1:5" x14ac:dyDescent="0.3">
      <c r="A35" s="10" t="s">
        <v>70</v>
      </c>
      <c r="B35" t="s">
        <v>68</v>
      </c>
      <c r="D35" s="10" t="s">
        <v>69</v>
      </c>
      <c r="E35" t="s">
        <v>68</v>
      </c>
    </row>
    <row r="36" spans="1:5" x14ac:dyDescent="0.3">
      <c r="A36" s="11" t="s">
        <v>61</v>
      </c>
      <c r="B36" s="12">
        <v>306000</v>
      </c>
      <c r="D36" s="11" t="s">
        <v>58</v>
      </c>
      <c r="E36" s="12">
        <v>123820</v>
      </c>
    </row>
    <row r="37" spans="1:5" x14ac:dyDescent="0.3">
      <c r="A37" s="11" t="s">
        <v>57</v>
      </c>
      <c r="B37" s="12">
        <v>79800</v>
      </c>
      <c r="D37" s="11" t="s">
        <v>56</v>
      </c>
      <c r="E37" s="12">
        <v>121600</v>
      </c>
    </row>
    <row r="38" spans="1:5" x14ac:dyDescent="0.3">
      <c r="A38" s="11" t="s">
        <v>65</v>
      </c>
      <c r="B38" s="12">
        <v>12000</v>
      </c>
      <c r="D38" s="11" t="s">
        <v>53</v>
      </c>
      <c r="E38" s="12">
        <v>66010</v>
      </c>
    </row>
    <row r="39" spans="1:5" x14ac:dyDescent="0.3">
      <c r="A39" s="11" t="s">
        <v>14</v>
      </c>
      <c r="B39" s="12">
        <v>397800</v>
      </c>
      <c r="D39" s="11" t="s">
        <v>14</v>
      </c>
      <c r="E39" s="12">
        <v>311430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426698</v>
      </c>
      <c r="B58" s="20">
        <f>GETPIVOTDATA("Amount",$A$57)</f>
        <v>426698</v>
      </c>
      <c r="D58" s="12">
        <v>41</v>
      </c>
      <c r="E58" s="20">
        <f>GETPIVOTDATA("Amount",$D$57)</f>
        <v>41</v>
      </c>
      <c r="H58" s="12">
        <v>10407.268292682927</v>
      </c>
      <c r="I58" s="20">
        <f>GETPIVOTDATA("Amount",$H$57)</f>
        <v>10407.268292682927</v>
      </c>
      <c r="K58" s="12">
        <v>68000</v>
      </c>
      <c r="L58" s="20">
        <f>GETPIVOTDATA("Amount",$K$57)</f>
        <v>68000</v>
      </c>
      <c r="N58" s="12">
        <v>168</v>
      </c>
      <c r="O58" s="20">
        <f>GETPIVOTDATA("Amount",$N$57)</f>
        <v>168</v>
      </c>
    </row>
  </sheetData>
  <mergeCells count="2">
    <mergeCell ref="A53:O54"/>
    <mergeCell ref="A1:E2"/>
  </mergeCells>
  <pageMargins left="0.7" right="0.7" top="0.75" bottom="0.75" header="0.3" footer="0.3"/>
  <drawing r:id="rId1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tabColor theme="9" tint="-0.249977111117893"/>
  </sheetPr>
  <dimension ref="A1:H42"/>
  <sheetViews>
    <sheetView workbookViewId="0">
      <selection activeCell="H43" sqref="H43"/>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41</v>
      </c>
      <c r="B42" s="18">
        <v>45004</v>
      </c>
      <c r="C42" t="s">
        <v>81</v>
      </c>
      <c r="D42" t="s">
        <v>82</v>
      </c>
      <c r="E42" t="s">
        <v>83</v>
      </c>
      <c r="F42">
        <v>3</v>
      </c>
      <c r="G42" s="19">
        <v>56</v>
      </c>
      <c r="H42" s="19">
        <f>dataraw[[#This Row],[Price]]*dataraw[[#This Row],[Qty]]</f>
        <v>168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BC246F50-D6F7-44C6-B8B9-1DFA91E983AB}">
  <ds:schemaRefs/>
</ds:datastoreItem>
</file>

<file path=customXml/itemProps2.xml><?xml version="1.0" encoding="utf-8"?>
<ds:datastoreItem xmlns:ds="http://schemas.openxmlformats.org/officeDocument/2006/customXml" ds:itemID="{8D614C0A-C1D5-4131-B799-8087D62F9D8C}">
  <ds:schemaRefs/>
</ds:datastoreItem>
</file>

<file path=customXml/itemProps3.xml><?xml version="1.0" encoding="utf-8"?>
<ds:datastoreItem xmlns:ds="http://schemas.openxmlformats.org/officeDocument/2006/customXml" ds:itemID="{AD81E317-133D-4269-AD8E-F0B60817F787}">
  <ds:schemaRefs/>
</ds:datastoreItem>
</file>

<file path=customXml/itemProps4.xml><?xml version="1.0" encoding="utf-8"?>
<ds:datastoreItem xmlns:ds="http://schemas.openxmlformats.org/officeDocument/2006/customXml" ds:itemID="{9AFCE036-CB70-4BEA-9D4F-DEFD2F183AF4}">
  <ds:schemaRefs/>
</ds:datastoreItem>
</file>

<file path=customXml/itemProps5.xml><?xml version="1.0" encoding="utf-8"?>
<ds:datastoreItem xmlns:ds="http://schemas.openxmlformats.org/officeDocument/2006/customXml" ds:itemID="{009A43EF-AB09-4DF7-BCBD-BD0B054FA1A7}">
  <ds:schemaRefs/>
</ds:datastoreItem>
</file>

<file path=customXml/itemProps6.xml><?xml version="1.0" encoding="utf-8"?>
<ds:datastoreItem xmlns:ds="http://schemas.openxmlformats.org/officeDocument/2006/customXml" ds:itemID="{7EBAD9F7-20F9-4DD8-B5A1-D8BE043A97CF}">
  <ds:schemaRefs/>
</ds:datastoreItem>
</file>

<file path=customXml/itemProps7.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8.xml><?xml version="1.0" encoding="utf-8"?>
<ds:datastoreItem xmlns:ds="http://schemas.openxmlformats.org/officeDocument/2006/customXml" ds:itemID="{2602C3D6-1CC3-4E3C-9976-E98BBA07608A}">
  <ds:schemaRefs/>
</ds:datastoreItem>
</file>

<file path=customXml/itemProps9.xml><?xml version="1.0" encoding="utf-8"?>
<ds:datastoreItem xmlns:ds="http://schemas.openxmlformats.org/officeDocument/2006/customXml" ds:itemID="{AEAAFECA-2DE4-4B02-AD25-A0FB5A56E772}">
  <ds:schemaRefs/>
</ds:datastoreItem>
</file>

<file path=customXml/itemProps10.xml><?xml version="1.0" encoding="utf-8"?>
<ds:datastoreItem xmlns:ds="http://schemas.openxmlformats.org/officeDocument/2006/customXml" ds:itemID="{62B2A0ED-C6CC-4EFC-AA6E-CE4344ECBA17}">
  <ds:schemaRefs/>
</ds:datastoreItem>
</file>

<file path=customXml/itemProps11.xml><?xml version="1.0" encoding="utf-8"?>
<ds:datastoreItem xmlns:ds="http://schemas.openxmlformats.org/officeDocument/2006/customXml" ds:itemID="{F983B97C-63D1-4E74-B3D4-7D94D857A850}">
  <ds:schemaRefs/>
</ds:datastoreItem>
</file>

<file path=customXml/itemProps12.xml><?xml version="1.0" encoding="utf-8"?>
<ds:datastoreItem xmlns:ds="http://schemas.openxmlformats.org/officeDocument/2006/customXml" ds:itemID="{38E109C5-2E84-4F87-B114-B2909FDD7E92}">
  <ds:schemaRefs/>
</ds:datastoreItem>
</file>

<file path=customXml/itemProps13.xml><?xml version="1.0" encoding="utf-8"?>
<ds:datastoreItem xmlns:ds="http://schemas.openxmlformats.org/officeDocument/2006/customXml" ds:itemID="{1726B34E-27E4-44AF-B32B-538A89F891D7}">
  <ds:schemaRefs/>
</ds:datastoreItem>
</file>

<file path=customXml/itemProps14.xml><?xml version="1.0" encoding="utf-8"?>
<ds:datastoreItem xmlns:ds="http://schemas.openxmlformats.org/officeDocument/2006/customXml" ds:itemID="{EA216088-64F2-4B38-88C8-2BB51C84CDE2}">
  <ds:schemaRefs/>
</ds:datastoreItem>
</file>

<file path=customXml/itemProps15.xml><?xml version="1.0" encoding="utf-8"?>
<ds:datastoreItem xmlns:ds="http://schemas.openxmlformats.org/officeDocument/2006/customXml" ds:itemID="{B395E832-2FB1-4FCC-8347-BC626FE079C4}">
  <ds:schemaRefs/>
</ds:datastoreItem>
</file>

<file path=customXml/itemProps16.xml><?xml version="1.0" encoding="utf-8"?>
<ds:datastoreItem xmlns:ds="http://schemas.openxmlformats.org/officeDocument/2006/customXml" ds:itemID="{A9D16D73-DF80-4591-8AB4-5AF50CD0432F}">
  <ds:schemaRefs/>
</ds:datastoreItem>
</file>

<file path=customXml/itemProps17.xml><?xml version="1.0" encoding="utf-8"?>
<ds:datastoreItem xmlns:ds="http://schemas.openxmlformats.org/officeDocument/2006/customXml" ds:itemID="{E3BFA8F2-3794-431F-9EB3-21512B27BFD5}">
  <ds:schemaRefs/>
</ds:datastoreItem>
</file>

<file path=customXml/itemProps18.xml><?xml version="1.0" encoding="utf-8"?>
<ds:datastoreItem xmlns:ds="http://schemas.openxmlformats.org/officeDocument/2006/customXml" ds:itemID="{D1CDC618-B7E4-42ED-9136-887556D3E8F6}">
  <ds:schemaRefs/>
</ds:datastoreItem>
</file>

<file path=customXml/itemProps19.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20.xml><?xml version="1.0" encoding="utf-8"?>
<ds:datastoreItem xmlns:ds="http://schemas.openxmlformats.org/officeDocument/2006/customXml" ds:itemID="{0C683F7F-38FA-452A-B137-2BE4C456C086}">
  <ds:schemaRefs/>
</ds:datastoreItem>
</file>

<file path=customXml/itemProps21.xml><?xml version="1.0" encoding="utf-8"?>
<ds:datastoreItem xmlns:ds="http://schemas.openxmlformats.org/officeDocument/2006/customXml" ds:itemID="{B51FFAB7-8A72-460A-905A-E4369F52DD03}">
  <ds:schemaRefs/>
</ds:datastoreItem>
</file>

<file path=customXml/itemProps22.xml><?xml version="1.0" encoding="utf-8"?>
<ds:datastoreItem xmlns:ds="http://schemas.openxmlformats.org/officeDocument/2006/customXml" ds:itemID="{0092E684-A59A-4104-A123-0A01CF8CC96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pivot table</vt:lpstr>
      <vt:lpstr>trades</vt:lpstr>
      <vt:lpstr>traders</vt:lpstr>
      <vt:lpstr>client </vt:lpstr>
      <vt:lpstr>productname</vt:lpstr>
      <vt:lpstr>invoice</vt:lpstr>
      <vt:lpstr>salesman</vt:lpstr>
      <vt:lpstr>products</vt:lpstr>
      <vt:lpstr>dashboard</vt:lpstr>
      <vt:lpstr>pivot table sales</vt:lpstr>
      <vt:lpstr>data raw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2026-10-08T21:47:32Z</dcterms:modified>
</cp:coreProperties>
</file>