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THINKPAD\Desktop\power bi\"/>
    </mc:Choice>
  </mc:AlternateContent>
  <xr:revisionPtr revIDLastSave="0" documentId="13_ncr:1_{84B310DD-AABD-432F-9571-6291ADBFE2EC}" xr6:coauthVersionLast="47" xr6:coauthVersionMax="47" xr10:uidLastSave="{00000000-0000-0000-0000-000000000000}"/>
  <bookViews>
    <workbookView xWindow="-108" yWindow="-108" windowWidth="23256" windowHeight="12456" tabRatio="705" firstSheet="10" activeTab="12" xr2:uid="{12120B74-1E2A-4740-BDBD-5E619114E9BB}"/>
  </bookViews>
  <sheets>
    <sheet name="pivot table" sheetId="3" r:id="rId1"/>
    <sheet name="trades" sheetId="1" r:id="rId2"/>
    <sheet name="traders" sheetId="2" r:id="rId3"/>
    <sheet name="client " sheetId="4" r:id="rId4"/>
    <sheet name="productname" sheetId="5" r:id="rId5"/>
    <sheet name="invoice" sheetId="6" r:id="rId6"/>
    <sheet name="salesman" sheetId="10" r:id="rId7"/>
    <sheet name="Sheet1" sheetId="12" r:id="rId8"/>
    <sheet name="products" sheetId="11" r:id="rId9"/>
    <sheet name="dashboard" sheetId="9" r:id="rId10"/>
    <sheet name="pivot table sales" sheetId="8" r:id="rId11"/>
    <sheet name="data raw sales" sheetId="7" r:id="rId12"/>
    <sheet name="conditional" sheetId="13" r:id="rId13"/>
    <sheet name="Sheet3" sheetId="14" r:id="rId14"/>
  </sheets>
  <definedNames>
    <definedName name="_xlcn.WorksheetConnection_relationships.xlsxclient1" hidden="1">client[]</definedName>
    <definedName name="_xlcn.WorksheetConnection_relationships.xlsxinvoice1" hidden="1">invoice[]</definedName>
    <definedName name="_xlcn.WorksheetConnection_relationships.xlsxproductname1" hidden="1">productname[]</definedName>
    <definedName name="_xlcn.WorksheetConnection_relationships.xlsxtraders1" hidden="1">traders[]</definedName>
    <definedName name="_xlcn.WorksheetConnection_relationships.xlsxtrades1" hidden="1">trades[]</definedName>
    <definedName name="NativeTimeline_Date">#N/A</definedName>
    <definedName name="Slicer_Item">#N/A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des" name="trades" connection="WorksheetConnection_relationships.xlsx!trades"/>
          <x15:modelTable id="traders" name="traders" connection="WorksheetConnection_relationships.xlsx!traders"/>
          <x15:modelTable id="productname" name="productname" connection="WorksheetConnection_relationships.xlsx!productname"/>
          <x15:modelTable id="invoice" name="invoice" connection="WorksheetConnection_relationships.xlsx!invoice"/>
          <x15:modelTable id="client" name="client" connection="WorksheetConnection_relationships.xlsx!client"/>
        </x15:modelTables>
        <x15:modelRelationships>
          <x15:modelRelationship fromTable="trades" fromColumn="tradeid" toTable="traders" toColumn="tradeid"/>
          <x15:modelRelationship fromTable="invoice" fromColumn="clientid" toTable="client" toColumn="clientid"/>
          <x15:modelRelationship fromTable="invoice" fromColumn="productname" toTable="productname" toColumn="product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13" l="1"/>
  <c r="D7" i="13"/>
  <c r="D8" i="13"/>
  <c r="D9" i="13"/>
  <c r="D5" i="13"/>
  <c r="C9" i="13"/>
  <c r="H42" i="7"/>
  <c r="A3" i="6"/>
  <c r="A4" i="6"/>
  <c r="A5" i="6"/>
  <c r="A6" i="6"/>
  <c r="A7" i="6"/>
  <c r="A8" i="6"/>
  <c r="I58" i="8"/>
  <c r="O58" i="8"/>
  <c r="E58" i="8"/>
  <c r="B58" i="8"/>
  <c r="L5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CCD8D2-FA07-458C-8908-0808F4C110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C25EFA7-AB28-4FC8-94D5-C651B498632A}" name="WorksheetConnection_relationships.xlsx!client" type="102" refreshedVersion="8" minRefreshableVersion="5">
    <extLst>
      <ext xmlns:x15="http://schemas.microsoft.com/office/spreadsheetml/2010/11/main" uri="{DE250136-89BD-433C-8126-D09CA5730AF9}">
        <x15:connection id="client">
          <x15:rangePr sourceName="_xlcn.WorksheetConnection_relationships.xlsxclient1"/>
        </x15:connection>
      </ext>
    </extLst>
  </connection>
  <connection id="3" xr16:uid="{E81703BA-1608-4684-B7DC-16CDD884629D}" name="WorksheetConnection_relationships.xlsx!invoice" type="102" refreshedVersion="8" minRefreshableVersion="5">
    <extLst>
      <ext xmlns:x15="http://schemas.microsoft.com/office/spreadsheetml/2010/11/main" uri="{DE250136-89BD-433C-8126-D09CA5730AF9}">
        <x15:connection id="invoice">
          <x15:rangePr sourceName="_xlcn.WorksheetConnection_relationships.xlsxinvoice1"/>
        </x15:connection>
      </ext>
    </extLst>
  </connection>
  <connection id="4" xr16:uid="{771A8609-BCEE-444F-88B0-B9FF228D5F86}" name="WorksheetConnection_relationships.xlsx!productname" type="102" refreshedVersion="8" minRefreshableVersion="5">
    <extLst>
      <ext xmlns:x15="http://schemas.microsoft.com/office/spreadsheetml/2010/11/main" uri="{DE250136-89BD-433C-8126-D09CA5730AF9}">
        <x15:connection id="productname">
          <x15:rangePr sourceName="_xlcn.WorksheetConnection_relationships.xlsxproductname1"/>
        </x15:connection>
      </ext>
    </extLst>
  </connection>
  <connection id="5" xr16:uid="{B53FBF94-24C4-41E0-94F4-04D6179CBB02}" name="WorksheetConnection_relationships.xlsx!traders" type="102" refreshedVersion="8" minRefreshableVersion="5">
    <extLst>
      <ext xmlns:x15="http://schemas.microsoft.com/office/spreadsheetml/2010/11/main" uri="{DE250136-89BD-433C-8126-D09CA5730AF9}">
        <x15:connection id="traders" autoDelete="1">
          <x15:rangePr sourceName="_xlcn.WorksheetConnection_relationships.xlsxtraders1"/>
        </x15:connection>
      </ext>
    </extLst>
  </connection>
  <connection id="6" xr16:uid="{B38D025D-3105-4E6D-9AD1-C7EA5D627E31}" name="WorksheetConnection_relationships.xlsx!trades" type="102" refreshedVersion="8" minRefreshableVersion="5">
    <extLst>
      <ext xmlns:x15="http://schemas.microsoft.com/office/spreadsheetml/2010/11/main" uri="{DE250136-89BD-433C-8126-D09CA5730AF9}">
        <x15:connection id="trades">
          <x15:rangePr sourceName="_xlcn.WorksheetConnection_relationships.xlsxtrades1"/>
        </x15:connection>
      </ext>
    </extLst>
  </connection>
</connections>
</file>

<file path=xl/sharedStrings.xml><?xml version="1.0" encoding="utf-8"?>
<sst xmlns="http://schemas.openxmlformats.org/spreadsheetml/2006/main" count="265" uniqueCount="92">
  <si>
    <t>tradeid</t>
  </si>
  <si>
    <t>pair</t>
  </si>
  <si>
    <t>profit</t>
  </si>
  <si>
    <t>eurusd</t>
  </si>
  <si>
    <t>name</t>
  </si>
  <si>
    <t>lastname</t>
  </si>
  <si>
    <t>abod</t>
  </si>
  <si>
    <t>tata</t>
  </si>
  <si>
    <t>kaka</t>
  </si>
  <si>
    <t>lala</t>
  </si>
  <si>
    <t>jaja</t>
  </si>
  <si>
    <t>hajar</t>
  </si>
  <si>
    <t>houda</t>
  </si>
  <si>
    <t>asmaa</t>
  </si>
  <si>
    <t>Grand Total</t>
  </si>
  <si>
    <t>trades total</t>
  </si>
  <si>
    <t>total profit</t>
  </si>
  <si>
    <t>name traders</t>
  </si>
  <si>
    <t>clientid</t>
  </si>
  <si>
    <t>country</t>
  </si>
  <si>
    <t>hind</t>
  </si>
  <si>
    <t>kika</t>
  </si>
  <si>
    <t>meryem</t>
  </si>
  <si>
    <t>jija</t>
  </si>
  <si>
    <t>abdo</t>
  </si>
  <si>
    <t>lola</t>
  </si>
  <si>
    <t>simo</t>
  </si>
  <si>
    <t>haha</t>
  </si>
  <si>
    <t>walid</t>
  </si>
  <si>
    <t>dada</t>
  </si>
  <si>
    <t>mali</t>
  </si>
  <si>
    <t>maroc</t>
  </si>
  <si>
    <t>us</t>
  </si>
  <si>
    <t>negerie</t>
  </si>
  <si>
    <t>productname</t>
  </si>
  <si>
    <t>price</t>
  </si>
  <si>
    <t>qte</t>
  </si>
  <si>
    <t>tv</t>
  </si>
  <si>
    <t>pc</t>
  </si>
  <si>
    <t>clavie</t>
  </si>
  <si>
    <t>souris</t>
  </si>
  <si>
    <t>date</t>
  </si>
  <si>
    <t>S No</t>
  </si>
  <si>
    <t>Date</t>
  </si>
  <si>
    <t>Salesman</t>
  </si>
  <si>
    <t>Region</t>
  </si>
  <si>
    <t>Item</t>
  </si>
  <si>
    <t>Qty</t>
  </si>
  <si>
    <t>Price</t>
  </si>
  <si>
    <t>Amount</t>
  </si>
  <si>
    <t>Ahmed Said</t>
  </si>
  <si>
    <t>Cairo</t>
  </si>
  <si>
    <t>Mouse</t>
  </si>
  <si>
    <t>Ali Ramadan</t>
  </si>
  <si>
    <t>Domietta</t>
  </si>
  <si>
    <t>Scanner</t>
  </si>
  <si>
    <t>Ashraf Zaki</t>
  </si>
  <si>
    <t>Printer</t>
  </si>
  <si>
    <t>Fathy Ali</t>
  </si>
  <si>
    <t>Tamer Mohamed</t>
  </si>
  <si>
    <t>Khaled Hassan</t>
  </si>
  <si>
    <t>Laptop</t>
  </si>
  <si>
    <t>Giza</t>
  </si>
  <si>
    <t>Speaker</t>
  </si>
  <si>
    <t>Alexandria</t>
  </si>
  <si>
    <t>Monitor</t>
  </si>
  <si>
    <t>Headset</t>
  </si>
  <si>
    <t>Keyboard</t>
  </si>
  <si>
    <t>Sum of Amount</t>
  </si>
  <si>
    <t>saleman by total amount</t>
  </si>
  <si>
    <t>products by total amount</t>
  </si>
  <si>
    <t>Count of Amount</t>
  </si>
  <si>
    <t>total sales</t>
  </si>
  <si>
    <t>total item</t>
  </si>
  <si>
    <t>Average of Amount</t>
  </si>
  <si>
    <t>Max of Amount</t>
  </si>
  <si>
    <t>Min of Amount</t>
  </si>
  <si>
    <t>KPI'S</t>
  </si>
  <si>
    <t>CHARTS  DATA</t>
  </si>
  <si>
    <t>Jan</t>
  </si>
  <si>
    <t>Feb</t>
  </si>
  <si>
    <t>hamid taha</t>
  </si>
  <si>
    <t>milano</t>
  </si>
  <si>
    <t>gamer</t>
  </si>
  <si>
    <t>Average of Price</t>
  </si>
  <si>
    <t>tomobil</t>
  </si>
  <si>
    <t>kra</t>
  </si>
  <si>
    <t>9raya</t>
  </si>
  <si>
    <t>café</t>
  </si>
  <si>
    <t>expenses</t>
  </si>
  <si>
    <t>total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</si>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</sst>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4" x14ac:knownFonts="1">
    <font>
      <sz val="11"/>
      <color theme="1"/>
      <name val="Aptos Narrow"/>
      <family val="2"/>
      <scheme val="minor"/>
    </font>
    <font>
      <b/>
      <sz val="11"/>
      <color theme="1"/>
      <name val="Aptos Narrow"/>
      <family val="2"/>
      <scheme val="minor"/>
    </font>
    <font>
      <sz val="20"/>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3" fillId="0" borderId="0" applyFont="0" applyFill="0" applyBorder="0" applyAlignment="0" applyProtection="0"/>
  </cellStyleXfs>
  <cellXfs count="35">
    <xf numFmtId="0" fontId="0" fillId="0" borderId="0" xfId="0"/>
    <xf numFmtId="0" fontId="0" fillId="0" borderId="1" xfId="0"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14" fontId="0" fillId="0" borderId="2" xfId="0" applyNumberFormat="1" applyBorder="1"/>
    <xf numFmtId="14" fontId="0" fillId="0" borderId="7" xfId="0" applyNumberFormat="1" applyBorder="1"/>
    <xf numFmtId="14" fontId="0" fillId="0" borderId="0" xfId="0" applyNumberFormat="1"/>
    <xf numFmtId="3" fontId="0" fillId="0" borderId="0" xfId="0" applyNumberFormat="1"/>
    <xf numFmtId="0" fontId="0" fillId="2" borderId="0" xfId="0" applyFill="1"/>
    <xf numFmtId="0" fontId="0" fillId="0" borderId="1" xfId="0" applyBorder="1" applyAlignment="1">
      <alignment horizontal="center"/>
    </xf>
    <xf numFmtId="164" fontId="0" fillId="0" borderId="1" xfId="0" applyNumberFormat="1" applyBorder="1" applyAlignment="1">
      <alignment horizontal="center"/>
    </xf>
    <xf numFmtId="9" fontId="0" fillId="0" borderId="1" xfId="1" applyFont="1" applyBorder="1" applyAlignment="1">
      <alignment horizontal="center"/>
    </xf>
    <xf numFmtId="0" fontId="0" fillId="0" borderId="1" xfId="0" applyFill="1" applyBorder="1" applyAlignment="1">
      <alignment horizontal="center"/>
    </xf>
    <xf numFmtId="0" fontId="0" fillId="2" borderId="1" xfId="0" applyFill="1" applyBorder="1" applyAlignment="1">
      <alignment horizontal="center"/>
    </xf>
    <xf numFmtId="9" fontId="0" fillId="0" borderId="0" xfId="1" applyFont="1" applyFill="1" applyBorder="1" applyAlignment="1">
      <alignment horizontal="center"/>
    </xf>
    <xf numFmtId="0" fontId="2" fillId="2" borderId="0" xfId="0" applyFont="1" applyFill="1" applyAlignment="1">
      <alignment horizontal="center" vertical="center"/>
    </xf>
    <xf numFmtId="0" fontId="0" fillId="2" borderId="0" xfId="0" applyFill="1" applyAlignment="1">
      <alignment horizontal="center" vertical="center"/>
    </xf>
    <xf numFmtId="0" fontId="0" fillId="2" borderId="1" xfId="0" applyFill="1" applyBorder="1"/>
    <xf numFmtId="0" fontId="0" fillId="0" borderId="0" xfId="0" applyAlignment="1">
      <alignment horizontal="center"/>
    </xf>
    <xf numFmtId="0" fontId="0" fillId="0" borderId="0" xfId="0" applyAlignment="1">
      <alignment horizontal="center"/>
    </xf>
    <xf numFmtId="0" fontId="0" fillId="2" borderId="3" xfId="0" applyFill="1" applyBorder="1"/>
    <xf numFmtId="0" fontId="0" fillId="3" borderId="0" xfId="0" applyFill="1" applyAlignment="1">
      <alignment horizontal="center"/>
    </xf>
    <xf numFmtId="0" fontId="0" fillId="4" borderId="0" xfId="0" applyFill="1" applyAlignment="1">
      <alignment horizontal="center"/>
    </xf>
  </cellXfs>
  <cellStyles count="2">
    <cellStyle name="Normal" xfId="0" builtinId="0"/>
    <cellStyle name="Percent" xfId="1" builtinId="5"/>
  </cellStyles>
  <dxfs count="53">
    <dxf>
      <fill>
        <patternFill>
          <bgColor rgb="FF92D050"/>
        </patternFill>
      </fill>
    </dxf>
    <dxf>
      <fill>
        <patternFill>
          <bgColor theme="5" tint="-0.24994659260841701"/>
        </patternFill>
      </fill>
    </dxf>
    <dxf>
      <fill>
        <patternFill>
          <bgColor theme="5" tint="-0.24994659260841701"/>
        </patternFill>
      </fill>
    </dxf>
    <dxf>
      <fill>
        <patternFill>
          <bgColor theme="5" tint="-0.24994659260841701"/>
        </patternFill>
      </fill>
    </dxf>
    <dxf>
      <numFmt numFmtId="3" formatCode="#,##0"/>
    </dxf>
    <dxf>
      <numFmt numFmtId="3" formatCode="#,##0"/>
    </dxf>
    <dxf>
      <numFmt numFmtId="19" formatCode="m/d/yy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9"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9" tint="0.59996337778862885"/>
        </patternFill>
      </fill>
      <border diagonalUp="0" diagonalDown="0">
        <left/>
        <right/>
        <top/>
        <bottom/>
        <vertical/>
        <horizontal/>
      </border>
    </dxf>
    <dxf>
      <font>
        <b/>
        <sz val="11"/>
        <color theme="1"/>
      </font>
    </dxf>
    <dxf>
      <font>
        <b/>
        <i val="0"/>
        <sz val="9"/>
      </font>
      <fill>
        <patternFill patternType="solid">
          <fgColor theme="0"/>
          <bgColor theme="9" tint="0.59996337778862885"/>
        </patternFill>
      </fill>
      <border diagonalUp="0" diagonalDown="0">
        <left/>
        <right/>
        <top/>
        <bottom/>
        <vertical/>
        <horizontal/>
      </border>
    </dxf>
    <dxf>
      <font>
        <sz val="10"/>
      </font>
      <fill>
        <patternFill>
          <bgColor theme="9" tint="0.59996337778862885"/>
        </patternFill>
      </fill>
      <border diagonalUp="0" diagonalDown="0">
        <left/>
        <right/>
        <top/>
        <bottom/>
        <vertical/>
        <horizontal/>
      </border>
    </dxf>
  </dxfs>
  <tableStyles count="7" defaultTableStyle="TableStyleMedium2" defaultPivotStyle="PivotStyleLight16">
    <tableStyle name="laila" pivot="0" table="0" count="1" xr9:uid="{DABE6C9C-85D5-4BAF-8B82-1729029B581B}">
      <tableStyleElement type="headerRow" dxfId="52"/>
    </tableStyle>
    <tableStyle name="lala" pivot="0" table="0" count="8" xr9:uid="{DD81CD64-2808-4CEA-9C01-4180B4801163}">
      <tableStyleElement type="wholeTable" dxfId="51"/>
      <tableStyleElement type="headerRow" dxfId="50"/>
    </tableStyle>
    <tableStyle name="lamina" pivot="0" table="0" count="1" xr9:uid="{D385192D-4717-4737-8E8C-886C505036D0}"/>
    <tableStyle name="lanini" pivot="0" table="0" count="2" xr9:uid="{40C6B56F-A003-4D3F-B525-E38E98C3907E}">
      <tableStyleElement type="wholeTable" dxfId="49"/>
    </tableStyle>
    <tableStyle name="Timeline Style 1" pivot="0" table="0" count="8" xr9:uid="{9B0A14E2-3CD1-4B19-8553-57CECB3028D8}">
      <tableStyleElement type="wholeTable" dxfId="48"/>
      <tableStyleElement type="headerRow" dxfId="47"/>
    </tableStyle>
    <tableStyle name="Timeline Style 2" pivot="0" table="0" count="8" xr9:uid="{49D621C8-D30B-4E29-85D1-6A8B15CAF539}">
      <tableStyleElement type="wholeTable" dxfId="46"/>
      <tableStyleElement type="headerRow" dxfId="45"/>
    </tableStyle>
    <tableStyle name="Timeline Style 3" pivot="0" table="0" count="8" xr9:uid="{258C9365-08EF-4D0A-89CD-E9F7EBD3F908}">
      <tableStyleElement type="wholeTable" dxfId="44"/>
      <tableStyleElement type="headerRow" dxfId="43"/>
    </tableStyle>
  </tableStyles>
  <extLst>
    <ext xmlns:x14="http://schemas.microsoft.com/office/spreadsheetml/2009/9/main" uri="{46F421CA-312F-682f-3DD2-61675219B42D}">
      <x14:dxfs count="2">
        <dxf>
          <fill>
            <patternFill>
              <bgColor theme="9" tint="0.59996337778862885"/>
            </patternFill>
          </fill>
        </dxf>
        <dxf>
          <fill>
            <patternFill>
              <bgColor theme="9"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laila"/>
        <x14:slicerStyle name="lamina">
          <x14:slicerStyleElements>
            <x14:slicerStyleElement type="hoveredSelectedItemWithData" dxfId="1"/>
          </x14:slicerStyleElements>
        </x14:slicerStyle>
        <x14:slicerStyle name="lanini">
          <x14:slicerStyleElements>
            <x14:slicerStyleElement type="selectedItemWithData" dxfId="0"/>
          </x14:slicerStyleElements>
        </x14:slicerStyle>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lala">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[relationships.xlsx]pivot table sales!PivotTable3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sales'!$E$4</c:f>
              <c:strCache>
                <c:ptCount val="1"/>
                <c:pt idx="0">
                  <c:v>Total</c:v>
                </c:pt>
              </c:strCache>
            </c:strRef>
          </c:tx>
          <c:spPr>
            <a:solidFill>
              <a:schemeClr val="accent6">
                <a:lumMod val="40000"/>
                <a:lumOff val="60000"/>
              </a:schemeClr>
            </a:solidFill>
            <a:ln>
              <a:noFill/>
            </a:ln>
            <a:effectLst/>
          </c:spPr>
          <c:invertIfNegative val="0"/>
          <c:cat>
            <c:strRef>
              <c:f>'pivot table sales'!$D$5:$D$9</c:f>
              <c:strCache>
                <c:ptCount val="4"/>
                <c:pt idx="0">
                  <c:v>Ahmed Said</c:v>
                </c:pt>
                <c:pt idx="1">
                  <c:v>Ali Ramadan</c:v>
                </c:pt>
                <c:pt idx="2">
                  <c:v>Khaled Hassan</c:v>
                </c:pt>
                <c:pt idx="3">
                  <c:v>Tamer Mohamed</c:v>
                </c:pt>
              </c:strCache>
            </c:strRef>
          </c:cat>
          <c:val>
            <c:numRef>
              <c:f>'pivot table sales'!$E$5:$E$9</c:f>
              <c:numCache>
                <c:formatCode>General</c:formatCode>
                <c:ptCount val="4"/>
                <c:pt idx="0">
                  <c:v>1140</c:v>
                </c:pt>
                <c:pt idx="1">
                  <c:v>760</c:v>
                </c:pt>
                <c:pt idx="2">
                  <c:v>1140</c:v>
                </c:pt>
                <c:pt idx="3">
                  <c:v>190</c:v>
                </c:pt>
              </c:numCache>
            </c:numRef>
          </c:val>
          <c:extLst>
            <c:ext xmlns:c16="http://schemas.microsoft.com/office/drawing/2014/chart" uri="{C3380CC4-5D6E-409C-BE32-E72D297353CC}">
              <c16:uniqueId val="{00000000-17E5-4CE2-A7C0-5C453963623A}"/>
            </c:ext>
          </c:extLst>
        </c:ser>
        <c:dLbls>
          <c:showLegendKey val="0"/>
          <c:showVal val="0"/>
          <c:showCatName val="0"/>
          <c:showSerName val="0"/>
          <c:showPercent val="0"/>
          <c:showBubbleSize val="0"/>
        </c:dLbls>
        <c:gapWidth val="219"/>
        <c:overlap val="-27"/>
        <c:axId val="1405357584"/>
        <c:axId val="1405356624"/>
      </c:barChart>
      <c:catAx>
        <c:axId val="140535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56624"/>
        <c:crosses val="autoZero"/>
        <c:auto val="1"/>
        <c:lblAlgn val="ctr"/>
        <c:lblOffset val="100"/>
        <c:noMultiLvlLbl val="0"/>
      </c:catAx>
      <c:valAx>
        <c:axId val="140535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5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[relationships.xlsx]pivot table sales!PivotTable7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'pivot table sales'!$E$35</c:f>
              <c:strCache>
                <c:ptCount val="1"/>
                <c:pt idx="0">
                  <c:v>Total</c:v>
                </c:pt>
              </c:strCache>
            </c:strRef>
          </c:tx>
          <c:spPr>
            <a:solidFill>
              <a:schemeClr val="accent6">
                <a:lumMod val="60000"/>
                <a:lumOff val="40000"/>
              </a:schemeClr>
            </a:solidFill>
            <a:ln>
              <a:noFill/>
            </a:ln>
            <a:effectLst/>
          </c:spPr>
          <c:invertIfNegative val="0"/>
          <c:cat>
            <c:strRef>
              <c:f>'pivot table sales'!$D$36:$D$39</c:f>
              <c:strCache>
                <c:ptCount val="3"/>
                <c:pt idx="0">
                  <c:v>Khaled Hassan</c:v>
                </c:pt>
                <c:pt idx="1">
                  <c:v>Ali Ramadan</c:v>
                </c:pt>
                <c:pt idx="2">
                  <c:v>Ahmed Said</c:v>
                </c:pt>
              </c:strCache>
            </c:strRef>
          </c:cat>
          <c:val>
            <c:numRef>
              <c:f>'pivot table sales'!$E$36:$E$39</c:f>
              <c:numCache>
                <c:formatCode>General</c:formatCode>
                <c:ptCount val="3"/>
                <c:pt idx="0">
                  <c:v>1140</c:v>
                </c:pt>
                <c:pt idx="1">
                  <c:v>760</c:v>
                </c:pt>
                <c:pt idx="2">
                  <c:v>1140</c:v>
                </c:pt>
              </c:numCache>
            </c:numRef>
          </c:val>
          <c:extLst>
            <c:ext xmlns:c16="http://schemas.microsoft.com/office/drawing/2014/chart" uri="{C3380CC4-5D6E-409C-BE32-E72D297353CC}">
              <c16:uniqueId val="{00000000-90B8-4505-B617-205EC9DD8423}"/>
            </c:ext>
          </c:extLst>
        </c:ser>
        <c:dLbls>
          <c:showLegendKey val="0"/>
          <c:showVal val="0"/>
          <c:showCatName val="0"/>
          <c:showSerName val="0"/>
          <c:showPercent val="0"/>
          <c:showBubbleSize val="0"/>
        </c:dLbls>
        <c:gapWidth val="182"/>
        <c:axId val="1397598976"/>
        <c:axId val="1397588896"/>
      </c:barChart>
      <c:catAx>
        <c:axId val="139759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88896"/>
        <c:crosses val="autoZero"/>
        <c:auto val="1"/>
        <c:lblAlgn val="ctr"/>
        <c:lblOffset val="100"/>
        <c:noMultiLvlLbl val="0"/>
      </c:catAx>
      <c:valAx>
        <c:axId val="139758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9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[relationships.xlsx]pivot table sales!PivotTable2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sales'!$B$4</c:f>
              <c:strCache>
                <c:ptCount val="1"/>
                <c:pt idx="0">
                  <c:v>Total</c:v>
                </c:pt>
              </c:strCache>
            </c:strRef>
          </c:tx>
          <c:spPr>
            <a:solidFill>
              <a:schemeClr val="accent6">
                <a:lumMod val="40000"/>
                <a:lumOff val="60000"/>
              </a:schemeClr>
            </a:solidFill>
            <a:ln>
              <a:noFill/>
            </a:ln>
            <a:effectLst/>
          </c:spPr>
          <c:invertIfNegative val="0"/>
          <c:cat>
            <c:strRef>
              <c:f>'pivot table sales'!$A$5:$A$14</c:f>
              <c:strCache>
                <c:ptCount val="9"/>
                <c:pt idx="0">
                  <c:v>Headset</c:v>
                </c:pt>
                <c:pt idx="1">
                  <c:v>Keyboard</c:v>
                </c:pt>
                <c:pt idx="2">
                  <c:v>Laptop</c:v>
                </c:pt>
                <c:pt idx="3">
                  <c:v>Monitor</c:v>
                </c:pt>
                <c:pt idx="4">
                  <c:v>Mouse</c:v>
                </c:pt>
                <c:pt idx="5">
                  <c:v>Printer</c:v>
                </c:pt>
                <c:pt idx="6">
                  <c:v>Scanner</c:v>
                </c:pt>
                <c:pt idx="7">
                  <c:v>Speaker</c:v>
                </c:pt>
                <c:pt idx="8">
                  <c:v>gamer</c:v>
                </c:pt>
              </c:strCache>
            </c:strRef>
          </c:cat>
          <c:val>
            <c:numRef>
              <c:f>'pivot table sales'!$B$5:$B$14</c:f>
              <c:numCache>
                <c:formatCode>General</c:formatCode>
                <c:ptCount val="9"/>
                <c:pt idx="0">
                  <c:v>3600</c:v>
                </c:pt>
                <c:pt idx="1">
                  <c:v>3230</c:v>
                </c:pt>
                <c:pt idx="2">
                  <c:v>306000</c:v>
                </c:pt>
                <c:pt idx="3">
                  <c:v>12000</c:v>
                </c:pt>
                <c:pt idx="4">
                  <c:v>4200</c:v>
                </c:pt>
                <c:pt idx="5">
                  <c:v>79800</c:v>
                </c:pt>
                <c:pt idx="6">
                  <c:v>10500</c:v>
                </c:pt>
                <c:pt idx="7">
                  <c:v>7200</c:v>
                </c:pt>
                <c:pt idx="8">
                  <c:v>168</c:v>
                </c:pt>
              </c:numCache>
            </c:numRef>
          </c:val>
          <c:extLst>
            <c:ext xmlns:c16="http://schemas.microsoft.com/office/drawing/2014/chart" uri="{C3380CC4-5D6E-409C-BE32-E72D297353CC}">
              <c16:uniqueId val="{00000000-0EF7-46BE-B18B-AA434DB64813}"/>
            </c:ext>
          </c:extLst>
        </c:ser>
        <c:dLbls>
          <c:showLegendKey val="0"/>
          <c:showVal val="0"/>
          <c:showCatName val="0"/>
          <c:showSerName val="0"/>
          <c:showPercent val="0"/>
          <c:showBubbleSize val="0"/>
        </c:dLbls>
        <c:gapWidth val="219"/>
        <c:overlap val="-27"/>
        <c:axId val="1424937552"/>
        <c:axId val="1424950992"/>
      </c:barChart>
      <c:catAx>
        <c:axId val="14249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50992"/>
        <c:crosses val="autoZero"/>
        <c:auto val="1"/>
        <c:lblAlgn val="ctr"/>
        <c:lblOffset val="100"/>
        <c:noMultiLvlLbl val="0"/>
      </c:catAx>
      <c:valAx>
        <c:axId val="142495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3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[relationships.xlsx]pivot table sales!PivotTable6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sales'!$B$35</c:f>
              <c:strCache>
                <c:ptCount val="1"/>
                <c:pt idx="0">
                  <c:v>Total</c:v>
                </c:pt>
              </c:strCache>
            </c:strRef>
          </c:tx>
          <c:spPr>
            <a:solidFill>
              <a:schemeClr val="accent6">
                <a:lumMod val="40000"/>
                <a:lumOff val="60000"/>
              </a:schemeClr>
            </a:solidFill>
            <a:ln>
              <a:noFill/>
            </a:ln>
            <a:effectLst/>
          </c:spPr>
          <c:invertIfNegative val="0"/>
          <c:cat>
            <c:strRef>
              <c:f>'pivot table sales'!$A$36:$A$39</c:f>
              <c:strCache>
                <c:ptCount val="3"/>
                <c:pt idx="0">
                  <c:v>Laptop</c:v>
                </c:pt>
                <c:pt idx="1">
                  <c:v>Printer</c:v>
                </c:pt>
                <c:pt idx="2">
                  <c:v>Monitor</c:v>
                </c:pt>
              </c:strCache>
            </c:strRef>
          </c:cat>
          <c:val>
            <c:numRef>
              <c:f>'pivot table sales'!$B$36:$B$39</c:f>
              <c:numCache>
                <c:formatCode>General</c:formatCode>
                <c:ptCount val="3"/>
                <c:pt idx="0">
                  <c:v>306000</c:v>
                </c:pt>
                <c:pt idx="1">
                  <c:v>79800</c:v>
                </c:pt>
                <c:pt idx="2">
                  <c:v>12000</c:v>
                </c:pt>
              </c:numCache>
            </c:numRef>
          </c:val>
          <c:extLst>
            <c:ext xmlns:c16="http://schemas.microsoft.com/office/drawing/2014/chart" uri="{C3380CC4-5D6E-409C-BE32-E72D297353CC}">
              <c16:uniqueId val="{00000000-3DC2-49B8-9427-F3935644762B}"/>
            </c:ext>
          </c:extLst>
        </c:ser>
        <c:dLbls>
          <c:showLegendKey val="0"/>
          <c:showVal val="0"/>
          <c:showCatName val="0"/>
          <c:showSerName val="0"/>
          <c:showPercent val="0"/>
          <c:showBubbleSize val="0"/>
        </c:dLbls>
        <c:gapWidth val="182"/>
        <c:axId val="1453730176"/>
        <c:axId val="1453715296"/>
      </c:barChart>
      <c:catAx>
        <c:axId val="145373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15296"/>
        <c:crosses val="autoZero"/>
        <c:auto val="1"/>
        <c:lblAlgn val="ctr"/>
        <c:lblOffset val="100"/>
        <c:noMultiLvlLbl val="0"/>
      </c:catAx>
      <c:valAx>
        <c:axId val="145371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301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[relationships.xlsx]pivot table sales!PivotTable13</c:name>
    <c:fmtId val="4"/>
  </c:pivotSource>
  <c:chart>
    <c:autoTitleDeleted val="1"/>
    <c:pivotFmts>
      <c:pivotFmt>
        <c:idx val="0"/>
        <c:spPr>
          <a:solidFill>
            <a:schemeClr val="accent1"/>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sales'!$I$4</c:f>
              <c:strCache>
                <c:ptCount val="1"/>
                <c:pt idx="0">
                  <c:v>Total</c:v>
                </c:pt>
              </c:strCache>
            </c:strRef>
          </c:tx>
          <c:spPr>
            <a:ln w="28575" cap="rnd">
              <a:solidFill>
                <a:schemeClr val="accent6">
                  <a:lumMod val="40000"/>
                  <a:lumOff val="60000"/>
                </a:schemeClr>
              </a:solidFill>
              <a:round/>
            </a:ln>
            <a:effectLst/>
          </c:spPr>
          <c:marker>
            <c:symbol val="none"/>
          </c:marker>
          <c:cat>
            <c:strRef>
              <c:f>'pivot table sales'!$H$5:$H$7</c:f>
              <c:strCache>
                <c:ptCount val="2"/>
                <c:pt idx="0">
                  <c:v>Jan</c:v>
                </c:pt>
                <c:pt idx="1">
                  <c:v>Feb</c:v>
                </c:pt>
              </c:strCache>
            </c:strRef>
          </c:cat>
          <c:val>
            <c:numRef>
              <c:f>'pivot table sales'!$I$5:$I$7</c:f>
              <c:numCache>
                <c:formatCode>General</c:formatCode>
                <c:ptCount val="2"/>
                <c:pt idx="0">
                  <c:v>2850</c:v>
                </c:pt>
                <c:pt idx="1">
                  <c:v>380</c:v>
                </c:pt>
              </c:numCache>
            </c:numRef>
          </c:val>
          <c:smooth val="0"/>
          <c:extLst>
            <c:ext xmlns:c16="http://schemas.microsoft.com/office/drawing/2014/chart" uri="{C3380CC4-5D6E-409C-BE32-E72D297353CC}">
              <c16:uniqueId val="{00000000-D9CC-46B4-ABAA-77A7408D548F}"/>
            </c:ext>
          </c:extLst>
        </c:ser>
        <c:dLbls>
          <c:showLegendKey val="0"/>
          <c:showVal val="0"/>
          <c:showCatName val="0"/>
          <c:showSerName val="0"/>
          <c:showPercent val="0"/>
          <c:showBubbleSize val="0"/>
        </c:dLbls>
        <c:smooth val="0"/>
        <c:axId val="1975947343"/>
        <c:axId val="1975940623"/>
      </c:lineChart>
      <c:catAx>
        <c:axId val="197594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40623"/>
        <c:crosses val="autoZero"/>
        <c:auto val="1"/>
        <c:lblAlgn val="ctr"/>
        <c:lblOffset val="100"/>
        <c:noMultiLvlLbl val="0"/>
      </c:catAx>
      <c:valAx>
        <c:axId val="1975940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4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[relationships.xlsx]pivot table sales!PivotTable2</c:name>
    <c:fmtId val="2"/>
  </c:pivotSource>
  <c:chart>
    <c:autoTitleDeleted val="1"/>
    <c:pivotFmts>
      <c:pivotFmt>
        <c:idx val="0"/>
        <c:spPr>
          <a:solidFill>
            <a:schemeClr val="accent6">
              <a:lumMod val="40000"/>
              <a:lumOff val="6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551386958983069E-2"/>
          <c:y val="3.6195120496301601E-2"/>
          <c:w val="0.93945392242636361"/>
          <c:h val="0.84204505686789155"/>
        </c:manualLayout>
      </c:layout>
      <c:barChart>
        <c:barDir val="col"/>
        <c:grouping val="clustered"/>
        <c:varyColors val="0"/>
        <c:ser>
          <c:idx val="0"/>
          <c:order val="0"/>
          <c:tx>
            <c:strRef>
              <c:f>'pivot table sales'!$B$4</c:f>
              <c:strCache>
                <c:ptCount val="1"/>
                <c:pt idx="0">
                  <c:v>Total</c:v>
                </c:pt>
              </c:strCache>
            </c:strRef>
          </c:tx>
          <c:spPr>
            <a:solidFill>
              <a:schemeClr val="accent6">
                <a:lumMod val="40000"/>
                <a:lumOff val="60000"/>
              </a:schemeClr>
            </a:solidFill>
            <a:ln>
              <a:solidFill>
                <a:schemeClr val="accent6">
                  <a:lumMod val="40000"/>
                  <a:lumOff val="60000"/>
                </a:schemeClr>
              </a:solidFill>
            </a:ln>
            <a:effectLst/>
          </c:spPr>
          <c:invertIfNegative val="0"/>
          <c:cat>
            <c:strRef>
              <c:f>'pivot table sales'!$A$5:$A$14</c:f>
              <c:strCache>
                <c:ptCount val="9"/>
                <c:pt idx="0">
                  <c:v>Headset</c:v>
                </c:pt>
                <c:pt idx="1">
                  <c:v>Keyboard</c:v>
                </c:pt>
                <c:pt idx="2">
                  <c:v>Laptop</c:v>
                </c:pt>
                <c:pt idx="3">
                  <c:v>Monitor</c:v>
                </c:pt>
                <c:pt idx="4">
                  <c:v>Mouse</c:v>
                </c:pt>
                <c:pt idx="5">
                  <c:v>Printer</c:v>
                </c:pt>
                <c:pt idx="6">
                  <c:v>Scanner</c:v>
                </c:pt>
                <c:pt idx="7">
                  <c:v>Speaker</c:v>
                </c:pt>
                <c:pt idx="8">
                  <c:v>gamer</c:v>
                </c:pt>
              </c:strCache>
            </c:strRef>
          </c:cat>
          <c:val>
            <c:numRef>
              <c:f>'pivot table sales'!$B$5:$B$14</c:f>
              <c:numCache>
                <c:formatCode>General</c:formatCode>
                <c:ptCount val="9"/>
                <c:pt idx="0">
                  <c:v>3600</c:v>
                </c:pt>
                <c:pt idx="1">
                  <c:v>3230</c:v>
                </c:pt>
                <c:pt idx="2">
                  <c:v>306000</c:v>
                </c:pt>
                <c:pt idx="3">
                  <c:v>12000</c:v>
                </c:pt>
                <c:pt idx="4">
                  <c:v>4200</c:v>
                </c:pt>
                <c:pt idx="5">
                  <c:v>79800</c:v>
                </c:pt>
                <c:pt idx="6">
                  <c:v>10500</c:v>
                </c:pt>
                <c:pt idx="7">
                  <c:v>7200</c:v>
                </c:pt>
                <c:pt idx="8">
                  <c:v>168</c:v>
                </c:pt>
              </c:numCache>
            </c:numRef>
          </c:val>
          <c:extLst>
            <c:ext xmlns:c16="http://schemas.microsoft.com/office/drawing/2014/chart" uri="{C3380CC4-5D6E-409C-BE32-E72D297353CC}">
              <c16:uniqueId val="{00000000-DD0C-44CA-9796-6F5F03C5EAF3}"/>
            </c:ext>
          </c:extLst>
        </c:ser>
        <c:dLbls>
          <c:showLegendKey val="0"/>
          <c:showVal val="0"/>
          <c:showCatName val="0"/>
          <c:showSerName val="0"/>
          <c:showPercent val="0"/>
          <c:showBubbleSize val="0"/>
        </c:dLbls>
        <c:gapWidth val="219"/>
        <c:overlap val="-27"/>
        <c:axId val="2055687695"/>
        <c:axId val="2055690575"/>
      </c:barChart>
      <c:catAx>
        <c:axId val="205568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90575"/>
        <c:crosses val="autoZero"/>
        <c:auto val="1"/>
        <c:lblAlgn val="ctr"/>
        <c:lblOffset val="100"/>
        <c:noMultiLvlLbl val="0"/>
      </c:catAx>
      <c:valAx>
        <c:axId val="2055690575"/>
        <c:scaling>
          <c:orientation val="minMax"/>
        </c:scaling>
        <c:delete val="1"/>
        <c:axPos val="l"/>
        <c:numFmt formatCode="General" sourceLinked="1"/>
        <c:majorTickMark val="none"/>
        <c:minorTickMark val="none"/>
        <c:tickLblPos val="nextTo"/>
        <c:crossAx val="205568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[relationships.xlsx]pivot table sales!PivotTable7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sales'!$E$35</c:f>
              <c:strCache>
                <c:ptCount val="1"/>
                <c:pt idx="0">
                  <c:v>Total</c:v>
                </c:pt>
              </c:strCache>
            </c:strRef>
          </c:tx>
          <c:spPr>
            <a:solidFill>
              <a:schemeClr val="accent1"/>
            </a:solidFill>
            <a:ln>
              <a:noFill/>
            </a:ln>
            <a:effectLst/>
          </c:spPr>
          <c:invertIfNegative val="0"/>
          <c:cat>
            <c:strRef>
              <c:f>'pivot table sales'!$D$36:$D$39</c:f>
              <c:strCache>
                <c:ptCount val="3"/>
                <c:pt idx="0">
                  <c:v>Khaled Hassan</c:v>
                </c:pt>
                <c:pt idx="1">
                  <c:v>Ali Ramadan</c:v>
                </c:pt>
                <c:pt idx="2">
                  <c:v>Ahmed Said</c:v>
                </c:pt>
              </c:strCache>
            </c:strRef>
          </c:cat>
          <c:val>
            <c:numRef>
              <c:f>'pivot table sales'!$E$36:$E$39</c:f>
              <c:numCache>
                <c:formatCode>General</c:formatCode>
                <c:ptCount val="3"/>
                <c:pt idx="0">
                  <c:v>1140</c:v>
                </c:pt>
                <c:pt idx="1">
                  <c:v>760</c:v>
                </c:pt>
                <c:pt idx="2">
                  <c:v>1140</c:v>
                </c:pt>
              </c:numCache>
            </c:numRef>
          </c:val>
          <c:extLst>
            <c:ext xmlns:c16="http://schemas.microsoft.com/office/drawing/2014/chart" uri="{C3380CC4-5D6E-409C-BE32-E72D297353CC}">
              <c16:uniqueId val="{00000000-2089-41C0-B456-FB41B2539283}"/>
            </c:ext>
          </c:extLst>
        </c:ser>
        <c:dLbls>
          <c:showLegendKey val="0"/>
          <c:showVal val="0"/>
          <c:showCatName val="0"/>
          <c:showSerName val="0"/>
          <c:showPercent val="0"/>
          <c:showBubbleSize val="0"/>
        </c:dLbls>
        <c:gapWidth val="182"/>
        <c:axId val="1397598976"/>
        <c:axId val="1397588896"/>
      </c:barChart>
      <c:catAx>
        <c:axId val="139759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88896"/>
        <c:crosses val="autoZero"/>
        <c:auto val="1"/>
        <c:lblAlgn val="ctr"/>
        <c:lblOffset val="100"/>
        <c:noMultiLvlLbl val="0"/>
      </c:catAx>
      <c:valAx>
        <c:axId val="139758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9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[relationships.xlsx]pivot table sales!PivotTable2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sales'!$B$4</c:f>
              <c:strCache>
                <c:ptCount val="1"/>
                <c:pt idx="0">
                  <c:v>Total</c:v>
                </c:pt>
              </c:strCache>
            </c:strRef>
          </c:tx>
          <c:spPr>
            <a:solidFill>
              <a:schemeClr val="accent1"/>
            </a:solidFill>
            <a:ln>
              <a:noFill/>
            </a:ln>
            <a:effectLst/>
          </c:spPr>
          <c:invertIfNegative val="0"/>
          <c:cat>
            <c:strRef>
              <c:f>'pivot table sales'!$A$5:$A$14</c:f>
              <c:strCache>
                <c:ptCount val="9"/>
                <c:pt idx="0">
                  <c:v>Headset</c:v>
                </c:pt>
                <c:pt idx="1">
                  <c:v>Keyboard</c:v>
                </c:pt>
                <c:pt idx="2">
                  <c:v>Laptop</c:v>
                </c:pt>
                <c:pt idx="3">
                  <c:v>Monitor</c:v>
                </c:pt>
                <c:pt idx="4">
                  <c:v>Mouse</c:v>
                </c:pt>
                <c:pt idx="5">
                  <c:v>Printer</c:v>
                </c:pt>
                <c:pt idx="6">
                  <c:v>Scanner</c:v>
                </c:pt>
                <c:pt idx="7">
                  <c:v>Speaker</c:v>
                </c:pt>
                <c:pt idx="8">
                  <c:v>gamer</c:v>
                </c:pt>
              </c:strCache>
            </c:strRef>
          </c:cat>
          <c:val>
            <c:numRef>
              <c:f>'pivot table sales'!$B$5:$B$14</c:f>
              <c:numCache>
                <c:formatCode>General</c:formatCode>
                <c:ptCount val="9"/>
                <c:pt idx="0">
                  <c:v>3600</c:v>
                </c:pt>
                <c:pt idx="1">
                  <c:v>3230</c:v>
                </c:pt>
                <c:pt idx="2">
                  <c:v>306000</c:v>
                </c:pt>
                <c:pt idx="3">
                  <c:v>12000</c:v>
                </c:pt>
                <c:pt idx="4">
                  <c:v>4200</c:v>
                </c:pt>
                <c:pt idx="5">
                  <c:v>79800</c:v>
                </c:pt>
                <c:pt idx="6">
                  <c:v>10500</c:v>
                </c:pt>
                <c:pt idx="7">
                  <c:v>7200</c:v>
                </c:pt>
                <c:pt idx="8">
                  <c:v>168</c:v>
                </c:pt>
              </c:numCache>
            </c:numRef>
          </c:val>
          <c:extLst>
            <c:ext xmlns:c16="http://schemas.microsoft.com/office/drawing/2014/chart" uri="{C3380CC4-5D6E-409C-BE32-E72D297353CC}">
              <c16:uniqueId val="{00000000-1D22-4046-B77F-7F20EA2322D4}"/>
            </c:ext>
          </c:extLst>
        </c:ser>
        <c:dLbls>
          <c:showLegendKey val="0"/>
          <c:showVal val="0"/>
          <c:showCatName val="0"/>
          <c:showSerName val="0"/>
          <c:showPercent val="0"/>
          <c:showBubbleSize val="0"/>
        </c:dLbls>
        <c:gapWidth val="219"/>
        <c:overlap val="-27"/>
        <c:axId val="1424937552"/>
        <c:axId val="1424950992"/>
      </c:barChart>
      <c:catAx>
        <c:axId val="14249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50992"/>
        <c:crosses val="autoZero"/>
        <c:auto val="1"/>
        <c:lblAlgn val="ctr"/>
        <c:lblOffset val="100"/>
        <c:noMultiLvlLbl val="0"/>
      </c:catAx>
      <c:valAx>
        <c:axId val="142495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3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[relationships.xlsx]pivot table sales!PivotTable6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sales'!$B$35</c:f>
              <c:strCache>
                <c:ptCount val="1"/>
                <c:pt idx="0">
                  <c:v>Total</c:v>
                </c:pt>
              </c:strCache>
            </c:strRef>
          </c:tx>
          <c:spPr>
            <a:solidFill>
              <a:schemeClr val="accent1"/>
            </a:solidFill>
            <a:ln>
              <a:noFill/>
            </a:ln>
            <a:effectLst/>
          </c:spPr>
          <c:invertIfNegative val="0"/>
          <c:cat>
            <c:strRef>
              <c:f>'pivot table sales'!$A$36:$A$39</c:f>
              <c:strCache>
                <c:ptCount val="3"/>
                <c:pt idx="0">
                  <c:v>Laptop</c:v>
                </c:pt>
                <c:pt idx="1">
                  <c:v>Printer</c:v>
                </c:pt>
                <c:pt idx="2">
                  <c:v>Monitor</c:v>
                </c:pt>
              </c:strCache>
            </c:strRef>
          </c:cat>
          <c:val>
            <c:numRef>
              <c:f>'pivot table sales'!$B$36:$B$39</c:f>
              <c:numCache>
                <c:formatCode>General</c:formatCode>
                <c:ptCount val="3"/>
                <c:pt idx="0">
                  <c:v>306000</c:v>
                </c:pt>
                <c:pt idx="1">
                  <c:v>79800</c:v>
                </c:pt>
                <c:pt idx="2">
                  <c:v>12000</c:v>
                </c:pt>
              </c:numCache>
            </c:numRef>
          </c:val>
          <c:extLst>
            <c:ext xmlns:c16="http://schemas.microsoft.com/office/drawing/2014/chart" uri="{C3380CC4-5D6E-409C-BE32-E72D297353CC}">
              <c16:uniqueId val="{00000000-B1B8-4EE7-A640-FF8D8F0713E9}"/>
            </c:ext>
          </c:extLst>
        </c:ser>
        <c:dLbls>
          <c:showLegendKey val="0"/>
          <c:showVal val="0"/>
          <c:showCatName val="0"/>
          <c:showSerName val="0"/>
          <c:showPercent val="0"/>
          <c:showBubbleSize val="0"/>
        </c:dLbls>
        <c:gapWidth val="182"/>
        <c:axId val="1453730176"/>
        <c:axId val="1453715296"/>
      </c:barChart>
      <c:catAx>
        <c:axId val="145373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15296"/>
        <c:crosses val="autoZero"/>
        <c:auto val="1"/>
        <c:lblAlgn val="ctr"/>
        <c:lblOffset val="100"/>
        <c:noMultiLvlLbl val="0"/>
      </c:catAx>
      <c:valAx>
        <c:axId val="145371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301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lesman!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products!A1"/><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shboard!A1"/><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lesman!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product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shboard!A1"/><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dashboard!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hyperlink" Target="#salesman!A1"/><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products!A1"/></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4</xdr:col>
      <xdr:colOff>244887</xdr:colOff>
      <xdr:row>4</xdr:row>
      <xdr:rowOff>71691</xdr:rowOff>
    </xdr:to>
    <xdr:sp macro="" textlink="">
      <xdr:nvSpPr>
        <xdr:cNvPr id="2" name="B43B9E99-EEEB-43E0-84A8-B82E90D6F7D8">
          <a:extLst>
            <a:ext uri="{FF2B5EF4-FFF2-40B4-BE49-F238E27FC236}">
              <a16:creationId xmlns:a16="http://schemas.microsoft.com/office/drawing/2014/main" id="{AB12AB9A-5201-F44F-4D19-283B7C0DCAE4}"/>
            </a:ext>
          </a:extLst>
        </xdr:cNvPr>
        <xdr:cNvSpPr txBox="1"/>
      </xdr:nvSpPr>
      <xdr:spPr>
        <a:xfrm>
          <a:off x="127000" y="127000"/>
          <a:ext cx="2563907" cy="676211"/>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63500" tIns="63500" rIns="63500" bIns="63500" rtlCol="0" anchor="t">
          <a:spAutoFit/>
        </a:bodyPr>
        <a:lstStyle/>
        <a:p>
          <a:r>
            <a:rPr lang="en-US" sz="1300" b="1"/>
            <a:t>3D Maps Tours
</a:t>
          </a:r>
          <a:r>
            <a:rPr lang="en-US" sz="1100"/>
            <a:t>This workbook has 3D Maps tours available.
Open 3D Maps to edit or play the tours.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121920</xdr:colOff>
      <xdr:row>40</xdr:row>
      <xdr:rowOff>106680</xdr:rowOff>
    </xdr:to>
    <xdr:sp macro="" textlink="">
      <xdr:nvSpPr>
        <xdr:cNvPr id="2" name="Rectangle 1">
          <a:extLst>
            <a:ext uri="{FF2B5EF4-FFF2-40B4-BE49-F238E27FC236}">
              <a16:creationId xmlns:a16="http://schemas.microsoft.com/office/drawing/2014/main" id="{C73AD06E-5132-4F2B-946D-54F7B9A14CF8}"/>
            </a:ext>
          </a:extLst>
        </xdr:cNvPr>
        <xdr:cNvSpPr/>
      </xdr:nvSpPr>
      <xdr:spPr>
        <a:xfrm>
          <a:off x="0" y="0"/>
          <a:ext cx="12923520" cy="7421880"/>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205740</xdr:colOff>
      <xdr:row>0</xdr:row>
      <xdr:rowOff>0</xdr:rowOff>
    </xdr:from>
    <xdr:to>
      <xdr:col>19</xdr:col>
      <xdr:colOff>60960</xdr:colOff>
      <xdr:row>39</xdr:row>
      <xdr:rowOff>15240</xdr:rowOff>
    </xdr:to>
    <xdr:sp macro="" textlink="">
      <xdr:nvSpPr>
        <xdr:cNvPr id="3" name="Rectangle: Rounded Corners 2">
          <a:extLst>
            <a:ext uri="{FF2B5EF4-FFF2-40B4-BE49-F238E27FC236}">
              <a16:creationId xmlns:a16="http://schemas.microsoft.com/office/drawing/2014/main" id="{92BF08B5-48DE-473F-AC60-DCDC03921FA6}"/>
            </a:ext>
          </a:extLst>
        </xdr:cNvPr>
        <xdr:cNvSpPr/>
      </xdr:nvSpPr>
      <xdr:spPr>
        <a:xfrm>
          <a:off x="1424940" y="0"/>
          <a:ext cx="10218420" cy="7147560"/>
        </a:xfrm>
        <a:prstGeom prst="roundRect">
          <a:avLst>
            <a:gd name="adj" fmla="val 379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0</xdr:row>
      <xdr:rowOff>152400</xdr:rowOff>
    </xdr:from>
    <xdr:to>
      <xdr:col>18</xdr:col>
      <xdr:colOff>361950</xdr:colOff>
      <xdr:row>3</xdr:row>
      <xdr:rowOff>106680</xdr:rowOff>
    </xdr:to>
    <xdr:sp macro="" textlink="">
      <xdr:nvSpPr>
        <xdr:cNvPr id="4" name="TextBox 3">
          <a:extLst>
            <a:ext uri="{FF2B5EF4-FFF2-40B4-BE49-F238E27FC236}">
              <a16:creationId xmlns:a16="http://schemas.microsoft.com/office/drawing/2014/main" id="{511A0863-D6D1-419F-A05F-F9CA285C7D7F}"/>
            </a:ext>
          </a:extLst>
        </xdr:cNvPr>
        <xdr:cNvSpPr txBox="1"/>
      </xdr:nvSpPr>
      <xdr:spPr>
        <a:xfrm>
          <a:off x="1733550" y="152400"/>
          <a:ext cx="9601200" cy="50292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dashboard sales</a:t>
          </a:r>
        </a:p>
      </xdr:txBody>
    </xdr:sp>
    <xdr:clientData/>
  </xdr:twoCellAnchor>
  <xdr:twoCellAnchor editAs="oneCell">
    <xdr:from>
      <xdr:col>2</xdr:col>
      <xdr:colOff>502920</xdr:colOff>
      <xdr:row>4</xdr:row>
      <xdr:rowOff>30480</xdr:rowOff>
    </xdr:from>
    <xdr:to>
      <xdr:col>18</xdr:col>
      <xdr:colOff>373380</xdr:colOff>
      <xdr:row>9</xdr:row>
      <xdr:rowOff>15240</xdr:rowOff>
    </xdr:to>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F9BF2C19-A3CF-479E-83F9-7EE28F250457}"/>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722120" y="762000"/>
              <a:ext cx="9624060" cy="899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502920</xdr:colOff>
      <xdr:row>8</xdr:row>
      <xdr:rowOff>91440</xdr:rowOff>
    </xdr:from>
    <xdr:to>
      <xdr:col>18</xdr:col>
      <xdr:colOff>342900</xdr:colOff>
      <xdr:row>14</xdr:row>
      <xdr:rowOff>45720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10559071-B4E8-4DDA-9656-3278D5EFBB30}"/>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722120" y="1554480"/>
              <a:ext cx="959358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510540</xdr:colOff>
      <xdr:row>14</xdr:row>
      <xdr:rowOff>0</xdr:rowOff>
    </xdr:from>
    <xdr:to>
      <xdr:col>5</xdr:col>
      <xdr:colOff>548640</xdr:colOff>
      <xdr:row>17</xdr:row>
      <xdr:rowOff>175260</xdr:rowOff>
    </xdr:to>
    <xdr:grpSp>
      <xdr:nvGrpSpPr>
        <xdr:cNvPr id="7" name="Group 6">
          <a:extLst>
            <a:ext uri="{FF2B5EF4-FFF2-40B4-BE49-F238E27FC236}">
              <a16:creationId xmlns:a16="http://schemas.microsoft.com/office/drawing/2014/main" id="{45BDABB0-C9C8-4F27-94DA-D457315A36BC}"/>
            </a:ext>
          </a:extLst>
        </xdr:cNvPr>
        <xdr:cNvGrpSpPr/>
      </xdr:nvGrpSpPr>
      <xdr:grpSpPr>
        <a:xfrm>
          <a:off x="1729740" y="2560320"/>
          <a:ext cx="1866900" cy="723900"/>
          <a:chOff x="1729740" y="2545080"/>
          <a:chExt cx="1866900" cy="723900"/>
        </a:xfrm>
      </xdr:grpSpPr>
      <xdr:sp macro="" textlink="">
        <xdr:nvSpPr>
          <xdr:cNvPr id="8" name="Rectangle 7">
            <a:extLst>
              <a:ext uri="{FF2B5EF4-FFF2-40B4-BE49-F238E27FC236}">
                <a16:creationId xmlns:a16="http://schemas.microsoft.com/office/drawing/2014/main" id="{5C46280C-8486-592D-1BBB-2B006E21695E}"/>
              </a:ext>
            </a:extLst>
          </xdr:cNvPr>
          <xdr:cNvSpPr/>
        </xdr:nvSpPr>
        <xdr:spPr>
          <a:xfrm>
            <a:off x="1729740" y="254508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pic>
        <xdr:nvPicPr>
          <xdr:cNvPr id="9" name="Graphic 8" descr="Dollar with solid fill">
            <a:extLst>
              <a:ext uri="{FF2B5EF4-FFF2-40B4-BE49-F238E27FC236}">
                <a16:creationId xmlns:a16="http://schemas.microsoft.com/office/drawing/2014/main" id="{BD1CB365-EC48-0089-82F7-07F2149152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0" y="2678430"/>
            <a:ext cx="457200" cy="457200"/>
          </a:xfrm>
          <a:prstGeom prst="rect">
            <a:avLst/>
          </a:prstGeom>
        </xdr:spPr>
      </xdr:pic>
      <xdr:sp macro="" textlink="">
        <xdr:nvSpPr>
          <xdr:cNvPr id="10" name="TextBox 9">
            <a:extLst>
              <a:ext uri="{FF2B5EF4-FFF2-40B4-BE49-F238E27FC236}">
                <a16:creationId xmlns:a16="http://schemas.microsoft.com/office/drawing/2014/main" id="{EEB5F60D-7607-213B-5F19-C161E3010824}"/>
              </a:ext>
            </a:extLst>
          </xdr:cNvPr>
          <xdr:cNvSpPr txBox="1"/>
        </xdr:nvSpPr>
        <xdr:spPr>
          <a:xfrm>
            <a:off x="2308860" y="261366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sales</a:t>
            </a:r>
            <a:endParaRPr lang="en-US" sz="1400" b="1">
              <a:solidFill>
                <a:schemeClr val="tx1"/>
              </a:solidFill>
            </a:endParaRPr>
          </a:p>
        </xdr:txBody>
      </xdr:sp>
      <xdr:sp macro="" textlink="'pivot table sales'!$B$58">
        <xdr:nvSpPr>
          <xdr:cNvPr id="11" name="TextBox 10">
            <a:extLst>
              <a:ext uri="{FF2B5EF4-FFF2-40B4-BE49-F238E27FC236}">
                <a16:creationId xmlns:a16="http://schemas.microsoft.com/office/drawing/2014/main" id="{241CB3F4-DC79-EA5C-7EA4-2E7C16169700}"/>
              </a:ext>
            </a:extLst>
          </xdr:cNvPr>
          <xdr:cNvSpPr txBox="1"/>
        </xdr:nvSpPr>
        <xdr:spPr>
          <a:xfrm>
            <a:off x="2301240" y="28956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61A2D4-AF1E-4E8D-8E3A-6F7E42BE1E79}" type="TxLink">
              <a:rPr lang="en-US" sz="2000" b="1" i="0" u="none" strike="noStrike">
                <a:solidFill>
                  <a:srgbClr val="000000"/>
                </a:solidFill>
                <a:latin typeface="Aptos Narrow"/>
              </a:rPr>
              <a:pPr/>
              <a:t>3230</a:t>
            </a:fld>
            <a:endParaRPr lang="en-US" sz="2000" b="1">
              <a:solidFill>
                <a:schemeClr val="tx1">
                  <a:lumMod val="50000"/>
                  <a:lumOff val="50000"/>
                </a:schemeClr>
              </a:solidFill>
            </a:endParaRPr>
          </a:p>
        </xdr:txBody>
      </xdr:sp>
    </xdr:grpSp>
    <xdr:clientData/>
  </xdr:twoCellAnchor>
  <xdr:twoCellAnchor>
    <xdr:from>
      <xdr:col>6</xdr:col>
      <xdr:colOff>1905</xdr:colOff>
      <xdr:row>14</xdr:row>
      <xdr:rowOff>0</xdr:rowOff>
    </xdr:from>
    <xdr:to>
      <xdr:col>9</xdr:col>
      <xdr:colOff>40005</xdr:colOff>
      <xdr:row>17</xdr:row>
      <xdr:rowOff>175260</xdr:rowOff>
    </xdr:to>
    <xdr:sp macro="" textlink="">
      <xdr:nvSpPr>
        <xdr:cNvPr id="12" name="Rectangle 11">
          <a:extLst>
            <a:ext uri="{FF2B5EF4-FFF2-40B4-BE49-F238E27FC236}">
              <a16:creationId xmlns:a16="http://schemas.microsoft.com/office/drawing/2014/main" id="{9AAE40B5-04A0-48F3-B65E-137EFAF9FCEB}"/>
            </a:ext>
          </a:extLst>
        </xdr:cNvPr>
        <xdr:cNvSpPr/>
      </xdr:nvSpPr>
      <xdr:spPr>
        <a:xfrm>
          <a:off x="365950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6</xdr:col>
      <xdr:colOff>581025</xdr:colOff>
      <xdr:row>14</xdr:row>
      <xdr:rowOff>68580</xdr:rowOff>
    </xdr:from>
    <xdr:to>
      <xdr:col>8</xdr:col>
      <xdr:colOff>565785</xdr:colOff>
      <xdr:row>15</xdr:row>
      <xdr:rowOff>129540</xdr:rowOff>
    </xdr:to>
    <xdr:sp macro="" textlink="">
      <xdr:nvSpPr>
        <xdr:cNvPr id="13" name="TextBox 12">
          <a:extLst>
            <a:ext uri="{FF2B5EF4-FFF2-40B4-BE49-F238E27FC236}">
              <a16:creationId xmlns:a16="http://schemas.microsoft.com/office/drawing/2014/main" id="{BD4AA156-212E-4AEB-86A6-336CE4EB8EB3}"/>
            </a:ext>
          </a:extLst>
        </xdr:cNvPr>
        <xdr:cNvSpPr txBox="1"/>
      </xdr:nvSpPr>
      <xdr:spPr>
        <a:xfrm>
          <a:off x="423862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avg</a:t>
          </a:r>
          <a:r>
            <a:rPr lang="en-US" sz="1400" b="1" baseline="0">
              <a:solidFill>
                <a:schemeClr val="tx1"/>
              </a:solidFill>
            </a:rPr>
            <a:t> sales</a:t>
          </a:r>
          <a:endParaRPr lang="en-US" sz="1400" b="1">
            <a:solidFill>
              <a:schemeClr val="tx1"/>
            </a:solidFill>
          </a:endParaRPr>
        </a:p>
      </xdr:txBody>
    </xdr:sp>
    <xdr:clientData/>
  </xdr:twoCellAnchor>
  <xdr:twoCellAnchor>
    <xdr:from>
      <xdr:col>6</xdr:col>
      <xdr:colOff>573405</xdr:colOff>
      <xdr:row>15</xdr:row>
      <xdr:rowOff>167640</xdr:rowOff>
    </xdr:from>
    <xdr:to>
      <xdr:col>8</xdr:col>
      <xdr:colOff>558165</xdr:colOff>
      <xdr:row>17</xdr:row>
      <xdr:rowOff>45720</xdr:rowOff>
    </xdr:to>
    <xdr:sp macro="" textlink="'pivot table sales'!I58">
      <xdr:nvSpPr>
        <xdr:cNvPr id="14" name="TextBox 13">
          <a:extLst>
            <a:ext uri="{FF2B5EF4-FFF2-40B4-BE49-F238E27FC236}">
              <a16:creationId xmlns:a16="http://schemas.microsoft.com/office/drawing/2014/main" id="{72684EF4-4DD5-453E-A7D1-1EADC3D2709F}"/>
            </a:ext>
          </a:extLst>
        </xdr:cNvPr>
        <xdr:cNvSpPr txBox="1"/>
      </xdr:nvSpPr>
      <xdr:spPr>
        <a:xfrm>
          <a:off x="423100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CCF8661-11D4-40D4-9433-86C961626A6C}" type="TxLink">
            <a:rPr lang="en-US" sz="2000" b="1" i="0" u="none" strike="noStrike">
              <a:solidFill>
                <a:srgbClr val="000000"/>
              </a:solidFill>
              <a:latin typeface="Aptos Narrow"/>
            </a:rPr>
            <a:pPr/>
            <a:t>646</a:t>
          </a:fld>
          <a:endParaRPr lang="en-US" sz="2000" b="1">
            <a:solidFill>
              <a:schemeClr val="tx1">
                <a:lumMod val="50000"/>
                <a:lumOff val="50000"/>
              </a:schemeClr>
            </a:solidFill>
          </a:endParaRPr>
        </a:p>
      </xdr:txBody>
    </xdr:sp>
    <xdr:clientData/>
  </xdr:twoCellAnchor>
  <xdr:twoCellAnchor>
    <xdr:from>
      <xdr:col>9</xdr:col>
      <xdr:colOff>102870</xdr:colOff>
      <xdr:row>14</xdr:row>
      <xdr:rowOff>0</xdr:rowOff>
    </xdr:from>
    <xdr:to>
      <xdr:col>12</xdr:col>
      <xdr:colOff>140970</xdr:colOff>
      <xdr:row>17</xdr:row>
      <xdr:rowOff>175260</xdr:rowOff>
    </xdr:to>
    <xdr:sp macro="" textlink="">
      <xdr:nvSpPr>
        <xdr:cNvPr id="15" name="Rectangle 14">
          <a:extLst>
            <a:ext uri="{FF2B5EF4-FFF2-40B4-BE49-F238E27FC236}">
              <a16:creationId xmlns:a16="http://schemas.microsoft.com/office/drawing/2014/main" id="{A548C96D-EE61-4D23-8FFA-49934AFB3B9A}"/>
            </a:ext>
          </a:extLst>
        </xdr:cNvPr>
        <xdr:cNvSpPr/>
      </xdr:nvSpPr>
      <xdr:spPr>
        <a:xfrm>
          <a:off x="558927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72390</xdr:colOff>
      <xdr:row>14</xdr:row>
      <xdr:rowOff>68580</xdr:rowOff>
    </xdr:from>
    <xdr:to>
      <xdr:col>12</xdr:col>
      <xdr:colOff>57150</xdr:colOff>
      <xdr:row>15</xdr:row>
      <xdr:rowOff>129540</xdr:rowOff>
    </xdr:to>
    <xdr:sp macro="" textlink="">
      <xdr:nvSpPr>
        <xdr:cNvPr id="16" name="TextBox 15">
          <a:extLst>
            <a:ext uri="{FF2B5EF4-FFF2-40B4-BE49-F238E27FC236}">
              <a16:creationId xmlns:a16="http://schemas.microsoft.com/office/drawing/2014/main" id="{DF336B1C-F5F4-4B06-B9C4-5309F2FD127D}"/>
            </a:ext>
          </a:extLst>
        </xdr:cNvPr>
        <xdr:cNvSpPr txBox="1"/>
      </xdr:nvSpPr>
      <xdr:spPr>
        <a:xfrm>
          <a:off x="616839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items</a:t>
          </a:r>
          <a:endParaRPr lang="en-US" sz="1400" b="1">
            <a:solidFill>
              <a:schemeClr val="tx1"/>
            </a:solidFill>
          </a:endParaRPr>
        </a:p>
      </xdr:txBody>
    </xdr:sp>
    <xdr:clientData/>
  </xdr:twoCellAnchor>
  <xdr:twoCellAnchor>
    <xdr:from>
      <xdr:col>10</xdr:col>
      <xdr:colOff>64770</xdr:colOff>
      <xdr:row>15</xdr:row>
      <xdr:rowOff>167640</xdr:rowOff>
    </xdr:from>
    <xdr:to>
      <xdr:col>12</xdr:col>
      <xdr:colOff>49530</xdr:colOff>
      <xdr:row>17</xdr:row>
      <xdr:rowOff>45720</xdr:rowOff>
    </xdr:to>
    <xdr:sp macro="" textlink="'pivot table sales'!E58">
      <xdr:nvSpPr>
        <xdr:cNvPr id="17" name="TextBox 16">
          <a:extLst>
            <a:ext uri="{FF2B5EF4-FFF2-40B4-BE49-F238E27FC236}">
              <a16:creationId xmlns:a16="http://schemas.microsoft.com/office/drawing/2014/main" id="{5D889F41-6662-4AB0-AED6-FD08ED6A99D5}"/>
            </a:ext>
          </a:extLst>
        </xdr:cNvPr>
        <xdr:cNvSpPr txBox="1"/>
      </xdr:nvSpPr>
      <xdr:spPr>
        <a:xfrm>
          <a:off x="616077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6AB29C-18E8-4921-ACD4-ED1503B5DAB8}" type="TxLink">
            <a:rPr lang="en-US" sz="2000" b="1" i="0" u="none" strike="noStrike">
              <a:solidFill>
                <a:srgbClr val="000000"/>
              </a:solidFill>
              <a:latin typeface="Aptos Narrow"/>
            </a:rPr>
            <a:pPr/>
            <a:t>5</a:t>
          </a:fld>
          <a:endParaRPr lang="en-US" sz="2000" b="1">
            <a:solidFill>
              <a:schemeClr val="tx1">
                <a:lumMod val="50000"/>
                <a:lumOff val="50000"/>
              </a:schemeClr>
            </a:solidFill>
          </a:endParaRPr>
        </a:p>
      </xdr:txBody>
    </xdr:sp>
    <xdr:clientData/>
  </xdr:twoCellAnchor>
  <xdr:twoCellAnchor>
    <xdr:from>
      <xdr:col>12</xdr:col>
      <xdr:colOff>203835</xdr:colOff>
      <xdr:row>14</xdr:row>
      <xdr:rowOff>0</xdr:rowOff>
    </xdr:from>
    <xdr:to>
      <xdr:col>15</xdr:col>
      <xdr:colOff>241935</xdr:colOff>
      <xdr:row>17</xdr:row>
      <xdr:rowOff>175260</xdr:rowOff>
    </xdr:to>
    <xdr:sp macro="" textlink="">
      <xdr:nvSpPr>
        <xdr:cNvPr id="18" name="Rectangle 17">
          <a:extLst>
            <a:ext uri="{FF2B5EF4-FFF2-40B4-BE49-F238E27FC236}">
              <a16:creationId xmlns:a16="http://schemas.microsoft.com/office/drawing/2014/main" id="{56196854-20AB-42D0-908E-FE35C6F7B814}"/>
            </a:ext>
          </a:extLst>
        </xdr:cNvPr>
        <xdr:cNvSpPr/>
      </xdr:nvSpPr>
      <xdr:spPr>
        <a:xfrm>
          <a:off x="751903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13</xdr:col>
      <xdr:colOff>173355</xdr:colOff>
      <xdr:row>14</xdr:row>
      <xdr:rowOff>68580</xdr:rowOff>
    </xdr:from>
    <xdr:to>
      <xdr:col>15</xdr:col>
      <xdr:colOff>158115</xdr:colOff>
      <xdr:row>15</xdr:row>
      <xdr:rowOff>129540</xdr:rowOff>
    </xdr:to>
    <xdr:sp macro="" textlink="">
      <xdr:nvSpPr>
        <xdr:cNvPr id="19" name="TextBox 18">
          <a:extLst>
            <a:ext uri="{FF2B5EF4-FFF2-40B4-BE49-F238E27FC236}">
              <a16:creationId xmlns:a16="http://schemas.microsoft.com/office/drawing/2014/main" id="{1418D845-EF13-417F-8611-57D3ED30B85E}"/>
            </a:ext>
          </a:extLst>
        </xdr:cNvPr>
        <xdr:cNvSpPr txBox="1"/>
      </xdr:nvSpPr>
      <xdr:spPr>
        <a:xfrm>
          <a:off x="809815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max</a:t>
          </a:r>
          <a:r>
            <a:rPr lang="en-US" sz="1400" b="1" baseline="0">
              <a:solidFill>
                <a:schemeClr val="tx1"/>
              </a:solidFill>
            </a:rPr>
            <a:t> amount</a:t>
          </a:r>
          <a:endParaRPr lang="en-US" sz="1400" b="1">
            <a:solidFill>
              <a:schemeClr val="tx1"/>
            </a:solidFill>
          </a:endParaRPr>
        </a:p>
      </xdr:txBody>
    </xdr:sp>
    <xdr:clientData/>
  </xdr:twoCellAnchor>
  <xdr:twoCellAnchor>
    <xdr:from>
      <xdr:col>13</xdr:col>
      <xdr:colOff>165735</xdr:colOff>
      <xdr:row>15</xdr:row>
      <xdr:rowOff>167640</xdr:rowOff>
    </xdr:from>
    <xdr:to>
      <xdr:col>15</xdr:col>
      <xdr:colOff>150495</xdr:colOff>
      <xdr:row>17</xdr:row>
      <xdr:rowOff>45720</xdr:rowOff>
    </xdr:to>
    <xdr:sp macro="" textlink="'pivot table sales'!L58">
      <xdr:nvSpPr>
        <xdr:cNvPr id="20" name="TextBox 19">
          <a:extLst>
            <a:ext uri="{FF2B5EF4-FFF2-40B4-BE49-F238E27FC236}">
              <a16:creationId xmlns:a16="http://schemas.microsoft.com/office/drawing/2014/main" id="{40282A7B-2430-45D9-9B9D-20F63FFA0D0E}"/>
            </a:ext>
          </a:extLst>
        </xdr:cNvPr>
        <xdr:cNvSpPr txBox="1"/>
      </xdr:nvSpPr>
      <xdr:spPr>
        <a:xfrm>
          <a:off x="809053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1D7F6C5-C8E1-4D43-A1CB-57DBA7E894CD}" type="TxLink">
            <a:rPr lang="en-US" sz="2000" b="1" i="0" u="none" strike="noStrike">
              <a:solidFill>
                <a:srgbClr val="000000"/>
              </a:solidFill>
              <a:latin typeface="Aptos Narrow"/>
            </a:rPr>
            <a:pPr/>
            <a:t>1140</a:t>
          </a:fld>
          <a:endParaRPr lang="en-US" sz="2000" b="1">
            <a:solidFill>
              <a:schemeClr val="tx1">
                <a:lumMod val="50000"/>
                <a:lumOff val="50000"/>
              </a:schemeClr>
            </a:solidFill>
          </a:endParaRPr>
        </a:p>
      </xdr:txBody>
    </xdr:sp>
    <xdr:clientData/>
  </xdr:twoCellAnchor>
  <xdr:twoCellAnchor>
    <xdr:from>
      <xdr:col>15</xdr:col>
      <xdr:colOff>304800</xdr:colOff>
      <xdr:row>14</xdr:row>
      <xdr:rowOff>0</xdr:rowOff>
    </xdr:from>
    <xdr:to>
      <xdr:col>18</xdr:col>
      <xdr:colOff>342900</xdr:colOff>
      <xdr:row>17</xdr:row>
      <xdr:rowOff>175260</xdr:rowOff>
    </xdr:to>
    <xdr:sp macro="" textlink="">
      <xdr:nvSpPr>
        <xdr:cNvPr id="21" name="Rectangle 20">
          <a:extLst>
            <a:ext uri="{FF2B5EF4-FFF2-40B4-BE49-F238E27FC236}">
              <a16:creationId xmlns:a16="http://schemas.microsoft.com/office/drawing/2014/main" id="{B9B8C7A7-929B-4124-88EA-3B5C848A8B32}"/>
            </a:ext>
          </a:extLst>
        </xdr:cNvPr>
        <xdr:cNvSpPr/>
      </xdr:nvSpPr>
      <xdr:spPr>
        <a:xfrm>
          <a:off x="944880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6</xdr:col>
      <xdr:colOff>121920</xdr:colOff>
      <xdr:row>14</xdr:row>
      <xdr:rowOff>144780</xdr:rowOff>
    </xdr:from>
    <xdr:to>
      <xdr:col>6</xdr:col>
      <xdr:colOff>579120</xdr:colOff>
      <xdr:row>17</xdr:row>
      <xdr:rowOff>53340</xdr:rowOff>
    </xdr:to>
    <xdr:pic>
      <xdr:nvPicPr>
        <xdr:cNvPr id="22" name="Graphic 21" descr="Coins with solid fill">
          <a:extLst>
            <a:ext uri="{FF2B5EF4-FFF2-40B4-BE49-F238E27FC236}">
              <a16:creationId xmlns:a16="http://schemas.microsoft.com/office/drawing/2014/main" id="{B3D93FC3-F720-4F0E-BA7A-94792CF799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9520" y="2705100"/>
          <a:ext cx="457200" cy="457200"/>
        </a:xfrm>
        <a:prstGeom prst="rect">
          <a:avLst/>
        </a:prstGeom>
      </xdr:spPr>
    </xdr:pic>
    <xdr:clientData/>
  </xdr:twoCellAnchor>
  <xdr:twoCellAnchor>
    <xdr:from>
      <xdr:col>16</xdr:col>
      <xdr:colOff>274320</xdr:colOff>
      <xdr:row>14</xdr:row>
      <xdr:rowOff>68580</xdr:rowOff>
    </xdr:from>
    <xdr:to>
      <xdr:col>18</xdr:col>
      <xdr:colOff>259080</xdr:colOff>
      <xdr:row>15</xdr:row>
      <xdr:rowOff>129540</xdr:rowOff>
    </xdr:to>
    <xdr:sp macro="" textlink="">
      <xdr:nvSpPr>
        <xdr:cNvPr id="23" name="TextBox 22">
          <a:extLst>
            <a:ext uri="{FF2B5EF4-FFF2-40B4-BE49-F238E27FC236}">
              <a16:creationId xmlns:a16="http://schemas.microsoft.com/office/drawing/2014/main" id="{8D589C0E-F022-44C0-A395-6EE079726584}"/>
            </a:ext>
          </a:extLst>
        </xdr:cNvPr>
        <xdr:cNvSpPr txBox="1"/>
      </xdr:nvSpPr>
      <xdr:spPr>
        <a:xfrm>
          <a:off x="1002792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min amount</a:t>
          </a:r>
        </a:p>
      </xdr:txBody>
    </xdr:sp>
    <xdr:clientData/>
  </xdr:twoCellAnchor>
  <xdr:twoCellAnchor>
    <xdr:from>
      <xdr:col>16</xdr:col>
      <xdr:colOff>266700</xdr:colOff>
      <xdr:row>15</xdr:row>
      <xdr:rowOff>167640</xdr:rowOff>
    </xdr:from>
    <xdr:to>
      <xdr:col>18</xdr:col>
      <xdr:colOff>251460</xdr:colOff>
      <xdr:row>17</xdr:row>
      <xdr:rowOff>45720</xdr:rowOff>
    </xdr:to>
    <xdr:sp macro="" textlink="'pivot table sales'!O58">
      <xdr:nvSpPr>
        <xdr:cNvPr id="24" name="TextBox 23">
          <a:extLst>
            <a:ext uri="{FF2B5EF4-FFF2-40B4-BE49-F238E27FC236}">
              <a16:creationId xmlns:a16="http://schemas.microsoft.com/office/drawing/2014/main" id="{3D47834F-972E-467A-BA3A-262B23B843B4}"/>
            </a:ext>
          </a:extLst>
        </xdr:cNvPr>
        <xdr:cNvSpPr txBox="1"/>
      </xdr:nvSpPr>
      <xdr:spPr>
        <a:xfrm>
          <a:off x="1002030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1B7C0D-CD6D-4BF8-9D45-33709A0F4171}" type="TxLink">
            <a:rPr lang="en-US" sz="2000" b="1" i="0" u="none" strike="noStrike">
              <a:solidFill>
                <a:srgbClr val="000000"/>
              </a:solidFill>
              <a:latin typeface="Aptos Narrow"/>
            </a:rPr>
            <a:pPr/>
            <a:t>190</a:t>
          </a:fld>
          <a:endParaRPr lang="en-US" sz="2000" b="1">
            <a:solidFill>
              <a:schemeClr val="tx1">
                <a:lumMod val="50000"/>
                <a:lumOff val="50000"/>
              </a:schemeClr>
            </a:solidFill>
          </a:endParaRPr>
        </a:p>
      </xdr:txBody>
    </xdr:sp>
    <xdr:clientData/>
  </xdr:twoCellAnchor>
  <xdr:twoCellAnchor editAs="oneCell">
    <xdr:from>
      <xdr:col>9</xdr:col>
      <xdr:colOff>190500</xdr:colOff>
      <xdr:row>14</xdr:row>
      <xdr:rowOff>160020</xdr:rowOff>
    </xdr:from>
    <xdr:to>
      <xdr:col>10</xdr:col>
      <xdr:colOff>38100</xdr:colOff>
      <xdr:row>17</xdr:row>
      <xdr:rowOff>68580</xdr:rowOff>
    </xdr:to>
    <xdr:pic>
      <xdr:nvPicPr>
        <xdr:cNvPr id="25" name="Graphic 24" descr="Medical with solid fill">
          <a:extLst>
            <a:ext uri="{FF2B5EF4-FFF2-40B4-BE49-F238E27FC236}">
              <a16:creationId xmlns:a16="http://schemas.microsoft.com/office/drawing/2014/main" id="{09CDAA06-E600-4F08-9359-FD70272045D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76900" y="2720340"/>
          <a:ext cx="457200" cy="457200"/>
        </a:xfrm>
        <a:prstGeom prst="rect">
          <a:avLst/>
        </a:prstGeom>
      </xdr:spPr>
    </xdr:pic>
    <xdr:clientData/>
  </xdr:twoCellAnchor>
  <xdr:twoCellAnchor editAs="oneCell">
    <xdr:from>
      <xdr:col>12</xdr:col>
      <xdr:colOff>335280</xdr:colOff>
      <xdr:row>14</xdr:row>
      <xdr:rowOff>160020</xdr:rowOff>
    </xdr:from>
    <xdr:to>
      <xdr:col>13</xdr:col>
      <xdr:colOff>182880</xdr:colOff>
      <xdr:row>17</xdr:row>
      <xdr:rowOff>68580</xdr:rowOff>
    </xdr:to>
    <xdr:pic>
      <xdr:nvPicPr>
        <xdr:cNvPr id="26" name="Graphic 25" descr="Bar graph with upward trend with solid fill">
          <a:extLst>
            <a:ext uri="{FF2B5EF4-FFF2-40B4-BE49-F238E27FC236}">
              <a16:creationId xmlns:a16="http://schemas.microsoft.com/office/drawing/2014/main" id="{A784E0F4-0BE6-4B04-83AC-FBD491CC155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50480" y="2720340"/>
          <a:ext cx="457200" cy="457200"/>
        </a:xfrm>
        <a:prstGeom prst="rect">
          <a:avLst/>
        </a:prstGeom>
      </xdr:spPr>
    </xdr:pic>
    <xdr:clientData/>
  </xdr:twoCellAnchor>
  <xdr:twoCellAnchor editAs="oneCell">
    <xdr:from>
      <xdr:col>15</xdr:col>
      <xdr:colOff>457200</xdr:colOff>
      <xdr:row>14</xdr:row>
      <xdr:rowOff>144780</xdr:rowOff>
    </xdr:from>
    <xdr:to>
      <xdr:col>16</xdr:col>
      <xdr:colOff>304800</xdr:colOff>
      <xdr:row>17</xdr:row>
      <xdr:rowOff>53340</xdr:rowOff>
    </xdr:to>
    <xdr:pic>
      <xdr:nvPicPr>
        <xdr:cNvPr id="27" name="Graphic 26" descr="Bar graph with downward trend with solid fill">
          <a:extLst>
            <a:ext uri="{FF2B5EF4-FFF2-40B4-BE49-F238E27FC236}">
              <a16:creationId xmlns:a16="http://schemas.microsoft.com/office/drawing/2014/main" id="{16414B3E-E54D-4FB5-B355-F9D7DD95D9B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01200" y="2705100"/>
          <a:ext cx="457200" cy="457200"/>
        </a:xfrm>
        <a:prstGeom prst="rect">
          <a:avLst/>
        </a:prstGeom>
      </xdr:spPr>
    </xdr:pic>
    <xdr:clientData/>
  </xdr:twoCellAnchor>
  <xdr:twoCellAnchor>
    <xdr:from>
      <xdr:col>0</xdr:col>
      <xdr:colOff>220980</xdr:colOff>
      <xdr:row>8</xdr:row>
      <xdr:rowOff>53340</xdr:rowOff>
    </xdr:from>
    <xdr:to>
      <xdr:col>2</xdr:col>
      <xdr:colOff>15240</xdr:colOff>
      <xdr:row>10</xdr:row>
      <xdr:rowOff>15240</xdr:rowOff>
    </xdr:to>
    <xdr:sp macro="" textlink="">
      <xdr:nvSpPr>
        <xdr:cNvPr id="30" name="TextBox 29">
          <a:hlinkClick xmlns:r="http://schemas.openxmlformats.org/officeDocument/2006/relationships" r:id="rId11"/>
          <a:extLst>
            <a:ext uri="{FF2B5EF4-FFF2-40B4-BE49-F238E27FC236}">
              <a16:creationId xmlns:a16="http://schemas.microsoft.com/office/drawing/2014/main" id="{F02EC5B4-6D6A-465F-A638-9F88F44C9A9D}"/>
            </a:ext>
          </a:extLst>
        </xdr:cNvPr>
        <xdr:cNvSpPr txBox="1"/>
      </xdr:nvSpPr>
      <xdr:spPr>
        <a:xfrm>
          <a:off x="220980" y="151638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dashboard</a:t>
          </a:r>
        </a:p>
      </xdr:txBody>
    </xdr:sp>
    <xdr:clientData/>
  </xdr:twoCellAnchor>
  <xdr:twoCellAnchor>
    <xdr:from>
      <xdr:col>0</xdr:col>
      <xdr:colOff>220980</xdr:colOff>
      <xdr:row>11</xdr:row>
      <xdr:rowOff>160020</xdr:rowOff>
    </xdr:from>
    <xdr:to>
      <xdr:col>2</xdr:col>
      <xdr:colOff>15240</xdr:colOff>
      <xdr:row>13</xdr:row>
      <xdr:rowOff>121920</xdr:rowOff>
    </xdr:to>
    <xdr:sp macro="" textlink="">
      <xdr:nvSpPr>
        <xdr:cNvPr id="31" name="TextBox 30">
          <a:hlinkClick xmlns:r="http://schemas.openxmlformats.org/officeDocument/2006/relationships" r:id="rId12"/>
          <a:extLst>
            <a:ext uri="{FF2B5EF4-FFF2-40B4-BE49-F238E27FC236}">
              <a16:creationId xmlns:a16="http://schemas.microsoft.com/office/drawing/2014/main" id="{CF8C4317-B5F2-4E56-BEDE-32FCAA1AE00C}"/>
            </a:ext>
          </a:extLst>
        </xdr:cNvPr>
        <xdr:cNvSpPr txBox="1"/>
      </xdr:nvSpPr>
      <xdr:spPr>
        <a:xfrm>
          <a:off x="220980" y="217170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products</a:t>
          </a:r>
        </a:p>
      </xdr:txBody>
    </xdr:sp>
    <xdr:clientData/>
  </xdr:twoCellAnchor>
  <xdr:twoCellAnchor>
    <xdr:from>
      <xdr:col>0</xdr:col>
      <xdr:colOff>220980</xdr:colOff>
      <xdr:row>15</xdr:row>
      <xdr:rowOff>83820</xdr:rowOff>
    </xdr:from>
    <xdr:to>
      <xdr:col>2</xdr:col>
      <xdr:colOff>15240</xdr:colOff>
      <xdr:row>17</xdr:row>
      <xdr:rowOff>45720</xdr:rowOff>
    </xdr:to>
    <xdr:sp macro="" textlink="">
      <xdr:nvSpPr>
        <xdr:cNvPr id="32" name="TextBox 31">
          <a:hlinkClick xmlns:r="http://schemas.openxmlformats.org/officeDocument/2006/relationships" r:id="rId13"/>
          <a:extLst>
            <a:ext uri="{FF2B5EF4-FFF2-40B4-BE49-F238E27FC236}">
              <a16:creationId xmlns:a16="http://schemas.microsoft.com/office/drawing/2014/main" id="{935DD82A-DF54-401E-A2EA-BE87C2A41F69}"/>
            </a:ext>
          </a:extLst>
        </xdr:cNvPr>
        <xdr:cNvSpPr txBox="1"/>
      </xdr:nvSpPr>
      <xdr:spPr>
        <a:xfrm>
          <a:off x="220980" y="282702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sales</a:t>
          </a:r>
          <a:r>
            <a:rPr lang="en-US" sz="1200" b="1" baseline="0"/>
            <a:t> man</a:t>
          </a:r>
          <a:endParaRPr lang="en-US" sz="1200" b="1"/>
        </a:p>
      </xdr:txBody>
    </xdr:sp>
    <xdr:clientData/>
  </xdr:twoCellAnchor>
  <xdr:twoCellAnchor>
    <xdr:from>
      <xdr:col>2</xdr:col>
      <xdr:colOff>495300</xdr:colOff>
      <xdr:row>18</xdr:row>
      <xdr:rowOff>102870</xdr:rowOff>
    </xdr:from>
    <xdr:to>
      <xdr:col>10</xdr:col>
      <xdr:colOff>387350</xdr:colOff>
      <xdr:row>34</xdr:row>
      <xdr:rowOff>38100</xdr:rowOff>
    </xdr:to>
    <xdr:graphicFrame macro="">
      <xdr:nvGraphicFramePr>
        <xdr:cNvPr id="33" name="Chart 32">
          <a:extLst>
            <a:ext uri="{FF2B5EF4-FFF2-40B4-BE49-F238E27FC236}">
              <a16:creationId xmlns:a16="http://schemas.microsoft.com/office/drawing/2014/main" id="{BFF5AF41-0783-4F75-BF87-AD277A110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476250</xdr:colOff>
      <xdr:row>18</xdr:row>
      <xdr:rowOff>102870</xdr:rowOff>
    </xdr:from>
    <xdr:to>
      <xdr:col>18</xdr:col>
      <xdr:colOff>342900</xdr:colOff>
      <xdr:row>34</xdr:row>
      <xdr:rowOff>22860</xdr:rowOff>
    </xdr:to>
    <xdr:graphicFrame macro="">
      <xdr:nvGraphicFramePr>
        <xdr:cNvPr id="34" name="Chart 33">
          <a:extLst>
            <a:ext uri="{FF2B5EF4-FFF2-40B4-BE49-F238E27FC236}">
              <a16:creationId xmlns:a16="http://schemas.microsoft.com/office/drawing/2014/main" id="{32CB68A8-D72F-4AFD-BB60-64A3A5EBB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320040</xdr:colOff>
      <xdr:row>0</xdr:row>
      <xdr:rowOff>144780</xdr:rowOff>
    </xdr:from>
    <xdr:to>
      <xdr:col>18</xdr:col>
      <xdr:colOff>220980</xdr:colOff>
      <xdr:row>3</xdr:row>
      <xdr:rowOff>106680</xdr:rowOff>
    </xdr:to>
    <xdr:pic>
      <xdr:nvPicPr>
        <xdr:cNvPr id="29" name="Graphic 28" descr="Arrow circle with solid fill">
          <a:extLst>
            <a:ext uri="{FF2B5EF4-FFF2-40B4-BE49-F238E27FC236}">
              <a16:creationId xmlns:a16="http://schemas.microsoft.com/office/drawing/2014/main" id="{68A5AFA2-93F0-63C0-127D-3C3C37C79AA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683240" y="144780"/>
          <a:ext cx="510540" cy="5105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121920</xdr:colOff>
      <xdr:row>40</xdr:row>
      <xdr:rowOff>106680</xdr:rowOff>
    </xdr:to>
    <xdr:sp macro="" textlink="">
      <xdr:nvSpPr>
        <xdr:cNvPr id="2" name="Rectangle 1">
          <a:extLst>
            <a:ext uri="{FF2B5EF4-FFF2-40B4-BE49-F238E27FC236}">
              <a16:creationId xmlns:a16="http://schemas.microsoft.com/office/drawing/2014/main" id="{76C5B8B1-C827-4119-989D-D8666E8B9DDA}"/>
            </a:ext>
          </a:extLst>
        </xdr:cNvPr>
        <xdr:cNvSpPr/>
      </xdr:nvSpPr>
      <xdr:spPr>
        <a:xfrm>
          <a:off x="0" y="0"/>
          <a:ext cx="12923520" cy="7421880"/>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205740</xdr:colOff>
      <xdr:row>0</xdr:row>
      <xdr:rowOff>0</xdr:rowOff>
    </xdr:from>
    <xdr:to>
      <xdr:col>19</xdr:col>
      <xdr:colOff>60960</xdr:colOff>
      <xdr:row>39</xdr:row>
      <xdr:rowOff>15240</xdr:rowOff>
    </xdr:to>
    <xdr:sp macro="" textlink="">
      <xdr:nvSpPr>
        <xdr:cNvPr id="3" name="Rectangle: Rounded Corners 2">
          <a:extLst>
            <a:ext uri="{FF2B5EF4-FFF2-40B4-BE49-F238E27FC236}">
              <a16:creationId xmlns:a16="http://schemas.microsoft.com/office/drawing/2014/main" id="{B129DEE4-62DA-4197-BE38-5F59CDDA9DE5}"/>
            </a:ext>
          </a:extLst>
        </xdr:cNvPr>
        <xdr:cNvSpPr/>
      </xdr:nvSpPr>
      <xdr:spPr>
        <a:xfrm>
          <a:off x="1424940" y="0"/>
          <a:ext cx="10218420" cy="7147560"/>
        </a:xfrm>
        <a:prstGeom prst="roundRect">
          <a:avLst>
            <a:gd name="adj" fmla="val 379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0</xdr:row>
      <xdr:rowOff>152400</xdr:rowOff>
    </xdr:from>
    <xdr:to>
      <xdr:col>18</xdr:col>
      <xdr:colOff>361950</xdr:colOff>
      <xdr:row>3</xdr:row>
      <xdr:rowOff>106680</xdr:rowOff>
    </xdr:to>
    <xdr:sp macro="" textlink="">
      <xdr:nvSpPr>
        <xdr:cNvPr id="4" name="TextBox 3">
          <a:extLst>
            <a:ext uri="{FF2B5EF4-FFF2-40B4-BE49-F238E27FC236}">
              <a16:creationId xmlns:a16="http://schemas.microsoft.com/office/drawing/2014/main" id="{F7167BE6-BB87-4596-ACD7-DC16D1D45193}"/>
            </a:ext>
          </a:extLst>
        </xdr:cNvPr>
        <xdr:cNvSpPr txBox="1"/>
      </xdr:nvSpPr>
      <xdr:spPr>
        <a:xfrm>
          <a:off x="1733550" y="152400"/>
          <a:ext cx="9601200" cy="50292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dashboard sales</a:t>
          </a:r>
        </a:p>
      </xdr:txBody>
    </xdr:sp>
    <xdr:clientData/>
  </xdr:twoCellAnchor>
  <xdr:twoCellAnchor editAs="oneCell">
    <xdr:from>
      <xdr:col>2</xdr:col>
      <xdr:colOff>502920</xdr:colOff>
      <xdr:row>4</xdr:row>
      <xdr:rowOff>30480</xdr:rowOff>
    </xdr:from>
    <xdr:to>
      <xdr:col>18</xdr:col>
      <xdr:colOff>373380</xdr:colOff>
      <xdr:row>9</xdr:row>
      <xdr:rowOff>15240</xdr:rowOff>
    </xdr:to>
    <mc:AlternateContent xmlns:mc="http://schemas.openxmlformats.org/markup-compatibility/2006" xmlns:tsle="http://schemas.microsoft.com/office/drawing/2012/timeslicer">
      <mc:Choice Requires="tsle">
        <xdr:graphicFrame macro="">
          <xdr:nvGraphicFramePr>
            <xdr:cNvPr id="5" name="Date 3">
              <a:extLst>
                <a:ext uri="{FF2B5EF4-FFF2-40B4-BE49-F238E27FC236}">
                  <a16:creationId xmlns:a16="http://schemas.microsoft.com/office/drawing/2014/main" id="{4825F4D2-ED31-495C-86BF-0449C825ABAA}"/>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722120" y="762000"/>
              <a:ext cx="9624060" cy="899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502920</xdr:colOff>
      <xdr:row>8</xdr:row>
      <xdr:rowOff>91440</xdr:rowOff>
    </xdr:from>
    <xdr:to>
      <xdr:col>18</xdr:col>
      <xdr:colOff>342900</xdr:colOff>
      <xdr:row>14</xdr:row>
      <xdr:rowOff>45720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84CF30AE-108B-4208-921E-46C9007016DE}"/>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722120" y="1554480"/>
              <a:ext cx="959358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510540</xdr:colOff>
      <xdr:row>14</xdr:row>
      <xdr:rowOff>0</xdr:rowOff>
    </xdr:from>
    <xdr:to>
      <xdr:col>5</xdr:col>
      <xdr:colOff>548640</xdr:colOff>
      <xdr:row>17</xdr:row>
      <xdr:rowOff>175260</xdr:rowOff>
    </xdr:to>
    <xdr:grpSp>
      <xdr:nvGrpSpPr>
        <xdr:cNvPr id="7" name="Group 6">
          <a:extLst>
            <a:ext uri="{FF2B5EF4-FFF2-40B4-BE49-F238E27FC236}">
              <a16:creationId xmlns:a16="http://schemas.microsoft.com/office/drawing/2014/main" id="{5D48B1A2-595B-44E1-B986-942537311E76}"/>
            </a:ext>
          </a:extLst>
        </xdr:cNvPr>
        <xdr:cNvGrpSpPr/>
      </xdr:nvGrpSpPr>
      <xdr:grpSpPr>
        <a:xfrm>
          <a:off x="1729740" y="2560320"/>
          <a:ext cx="1866900" cy="723900"/>
          <a:chOff x="1729740" y="2545080"/>
          <a:chExt cx="1866900" cy="723900"/>
        </a:xfrm>
      </xdr:grpSpPr>
      <xdr:sp macro="" textlink="">
        <xdr:nvSpPr>
          <xdr:cNvPr id="8" name="Rectangle 7">
            <a:extLst>
              <a:ext uri="{FF2B5EF4-FFF2-40B4-BE49-F238E27FC236}">
                <a16:creationId xmlns:a16="http://schemas.microsoft.com/office/drawing/2014/main" id="{5D3342D0-A69C-6700-76A6-27B18CB75822}"/>
              </a:ext>
            </a:extLst>
          </xdr:cNvPr>
          <xdr:cNvSpPr/>
        </xdr:nvSpPr>
        <xdr:spPr>
          <a:xfrm>
            <a:off x="1729740" y="254508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pic>
        <xdr:nvPicPr>
          <xdr:cNvPr id="9" name="Graphic 8" descr="Dollar with solid fill">
            <a:extLst>
              <a:ext uri="{FF2B5EF4-FFF2-40B4-BE49-F238E27FC236}">
                <a16:creationId xmlns:a16="http://schemas.microsoft.com/office/drawing/2014/main" id="{39CA66A9-0CDE-6048-6180-0A1C77350D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0" y="2678430"/>
            <a:ext cx="457200" cy="457200"/>
          </a:xfrm>
          <a:prstGeom prst="rect">
            <a:avLst/>
          </a:prstGeom>
        </xdr:spPr>
      </xdr:pic>
      <xdr:sp macro="" textlink="">
        <xdr:nvSpPr>
          <xdr:cNvPr id="10" name="TextBox 9">
            <a:extLst>
              <a:ext uri="{FF2B5EF4-FFF2-40B4-BE49-F238E27FC236}">
                <a16:creationId xmlns:a16="http://schemas.microsoft.com/office/drawing/2014/main" id="{5BA72D07-535C-515A-BBD5-C28114F8C7A8}"/>
              </a:ext>
            </a:extLst>
          </xdr:cNvPr>
          <xdr:cNvSpPr txBox="1"/>
        </xdr:nvSpPr>
        <xdr:spPr>
          <a:xfrm>
            <a:off x="2308860" y="261366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sales</a:t>
            </a:r>
            <a:endParaRPr lang="en-US" sz="1400" b="1">
              <a:solidFill>
                <a:schemeClr val="tx1"/>
              </a:solidFill>
            </a:endParaRPr>
          </a:p>
        </xdr:txBody>
      </xdr:sp>
      <xdr:sp macro="" textlink="'pivot table sales'!$B$58">
        <xdr:nvSpPr>
          <xdr:cNvPr id="11" name="TextBox 10">
            <a:extLst>
              <a:ext uri="{FF2B5EF4-FFF2-40B4-BE49-F238E27FC236}">
                <a16:creationId xmlns:a16="http://schemas.microsoft.com/office/drawing/2014/main" id="{E11074E5-90D6-4AF4-F0A0-58168B5439DB}"/>
              </a:ext>
            </a:extLst>
          </xdr:cNvPr>
          <xdr:cNvSpPr txBox="1"/>
        </xdr:nvSpPr>
        <xdr:spPr>
          <a:xfrm>
            <a:off x="2301240" y="28956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61A2D4-AF1E-4E8D-8E3A-6F7E42BE1E79}" type="TxLink">
              <a:rPr lang="en-US" sz="2000" b="1" i="0" u="none" strike="noStrike">
                <a:solidFill>
                  <a:srgbClr val="000000"/>
                </a:solidFill>
                <a:latin typeface="Aptos Narrow"/>
              </a:rPr>
              <a:pPr/>
              <a:t>3230</a:t>
            </a:fld>
            <a:endParaRPr lang="en-US" sz="2000" b="1">
              <a:solidFill>
                <a:schemeClr val="tx1">
                  <a:lumMod val="50000"/>
                  <a:lumOff val="50000"/>
                </a:schemeClr>
              </a:solidFill>
            </a:endParaRPr>
          </a:p>
        </xdr:txBody>
      </xdr:sp>
    </xdr:grpSp>
    <xdr:clientData/>
  </xdr:twoCellAnchor>
  <xdr:twoCellAnchor>
    <xdr:from>
      <xdr:col>6</xdr:col>
      <xdr:colOff>1905</xdr:colOff>
      <xdr:row>14</xdr:row>
      <xdr:rowOff>0</xdr:rowOff>
    </xdr:from>
    <xdr:to>
      <xdr:col>9</xdr:col>
      <xdr:colOff>40005</xdr:colOff>
      <xdr:row>17</xdr:row>
      <xdr:rowOff>175260</xdr:rowOff>
    </xdr:to>
    <xdr:sp macro="" textlink="">
      <xdr:nvSpPr>
        <xdr:cNvPr id="12" name="Rectangle 11">
          <a:extLst>
            <a:ext uri="{FF2B5EF4-FFF2-40B4-BE49-F238E27FC236}">
              <a16:creationId xmlns:a16="http://schemas.microsoft.com/office/drawing/2014/main" id="{24D88E8C-3C3E-4A05-8DFA-ECDD1F0BFA41}"/>
            </a:ext>
          </a:extLst>
        </xdr:cNvPr>
        <xdr:cNvSpPr/>
      </xdr:nvSpPr>
      <xdr:spPr>
        <a:xfrm>
          <a:off x="365950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6</xdr:col>
      <xdr:colOff>581025</xdr:colOff>
      <xdr:row>14</xdr:row>
      <xdr:rowOff>68580</xdr:rowOff>
    </xdr:from>
    <xdr:to>
      <xdr:col>8</xdr:col>
      <xdr:colOff>565785</xdr:colOff>
      <xdr:row>15</xdr:row>
      <xdr:rowOff>129540</xdr:rowOff>
    </xdr:to>
    <xdr:sp macro="" textlink="">
      <xdr:nvSpPr>
        <xdr:cNvPr id="13" name="TextBox 12">
          <a:extLst>
            <a:ext uri="{FF2B5EF4-FFF2-40B4-BE49-F238E27FC236}">
              <a16:creationId xmlns:a16="http://schemas.microsoft.com/office/drawing/2014/main" id="{2786F0B3-4791-4D9C-BDC6-3D272A5FC954}"/>
            </a:ext>
          </a:extLst>
        </xdr:cNvPr>
        <xdr:cNvSpPr txBox="1"/>
      </xdr:nvSpPr>
      <xdr:spPr>
        <a:xfrm>
          <a:off x="423862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avg</a:t>
          </a:r>
          <a:r>
            <a:rPr lang="en-US" sz="1400" b="1" baseline="0">
              <a:solidFill>
                <a:schemeClr val="tx1"/>
              </a:solidFill>
            </a:rPr>
            <a:t> sales</a:t>
          </a:r>
          <a:endParaRPr lang="en-US" sz="1400" b="1">
            <a:solidFill>
              <a:schemeClr val="tx1"/>
            </a:solidFill>
          </a:endParaRPr>
        </a:p>
      </xdr:txBody>
    </xdr:sp>
    <xdr:clientData/>
  </xdr:twoCellAnchor>
  <xdr:twoCellAnchor>
    <xdr:from>
      <xdr:col>6</xdr:col>
      <xdr:colOff>573405</xdr:colOff>
      <xdr:row>15</xdr:row>
      <xdr:rowOff>167640</xdr:rowOff>
    </xdr:from>
    <xdr:to>
      <xdr:col>8</xdr:col>
      <xdr:colOff>558165</xdr:colOff>
      <xdr:row>17</xdr:row>
      <xdr:rowOff>45720</xdr:rowOff>
    </xdr:to>
    <xdr:sp macro="" textlink="'pivot table sales'!I58">
      <xdr:nvSpPr>
        <xdr:cNvPr id="14" name="TextBox 13">
          <a:extLst>
            <a:ext uri="{FF2B5EF4-FFF2-40B4-BE49-F238E27FC236}">
              <a16:creationId xmlns:a16="http://schemas.microsoft.com/office/drawing/2014/main" id="{A580E1F7-9FC2-41D9-8833-A7F046AECAC2}"/>
            </a:ext>
          </a:extLst>
        </xdr:cNvPr>
        <xdr:cNvSpPr txBox="1"/>
      </xdr:nvSpPr>
      <xdr:spPr>
        <a:xfrm>
          <a:off x="423100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CCF8661-11D4-40D4-9433-86C961626A6C}" type="TxLink">
            <a:rPr lang="en-US" sz="2000" b="1" i="0" u="none" strike="noStrike">
              <a:solidFill>
                <a:srgbClr val="000000"/>
              </a:solidFill>
              <a:latin typeface="Aptos Narrow"/>
            </a:rPr>
            <a:pPr/>
            <a:t>646</a:t>
          </a:fld>
          <a:endParaRPr lang="en-US" sz="2000" b="1">
            <a:solidFill>
              <a:schemeClr val="tx1">
                <a:lumMod val="50000"/>
                <a:lumOff val="50000"/>
              </a:schemeClr>
            </a:solidFill>
          </a:endParaRPr>
        </a:p>
      </xdr:txBody>
    </xdr:sp>
    <xdr:clientData/>
  </xdr:twoCellAnchor>
  <xdr:twoCellAnchor>
    <xdr:from>
      <xdr:col>9</xdr:col>
      <xdr:colOff>102870</xdr:colOff>
      <xdr:row>14</xdr:row>
      <xdr:rowOff>0</xdr:rowOff>
    </xdr:from>
    <xdr:to>
      <xdr:col>12</xdr:col>
      <xdr:colOff>140970</xdr:colOff>
      <xdr:row>17</xdr:row>
      <xdr:rowOff>175260</xdr:rowOff>
    </xdr:to>
    <xdr:sp macro="" textlink="">
      <xdr:nvSpPr>
        <xdr:cNvPr id="15" name="Rectangle 14">
          <a:extLst>
            <a:ext uri="{FF2B5EF4-FFF2-40B4-BE49-F238E27FC236}">
              <a16:creationId xmlns:a16="http://schemas.microsoft.com/office/drawing/2014/main" id="{B49B97A2-6CD8-44DA-B7C7-6CF477D82AF2}"/>
            </a:ext>
          </a:extLst>
        </xdr:cNvPr>
        <xdr:cNvSpPr/>
      </xdr:nvSpPr>
      <xdr:spPr>
        <a:xfrm>
          <a:off x="558927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72390</xdr:colOff>
      <xdr:row>14</xdr:row>
      <xdr:rowOff>68580</xdr:rowOff>
    </xdr:from>
    <xdr:to>
      <xdr:col>12</xdr:col>
      <xdr:colOff>57150</xdr:colOff>
      <xdr:row>15</xdr:row>
      <xdr:rowOff>129540</xdr:rowOff>
    </xdr:to>
    <xdr:sp macro="" textlink="">
      <xdr:nvSpPr>
        <xdr:cNvPr id="16" name="TextBox 15">
          <a:extLst>
            <a:ext uri="{FF2B5EF4-FFF2-40B4-BE49-F238E27FC236}">
              <a16:creationId xmlns:a16="http://schemas.microsoft.com/office/drawing/2014/main" id="{417C58DB-5C69-409A-90FC-A9F0D068DD3B}"/>
            </a:ext>
          </a:extLst>
        </xdr:cNvPr>
        <xdr:cNvSpPr txBox="1"/>
      </xdr:nvSpPr>
      <xdr:spPr>
        <a:xfrm>
          <a:off x="616839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items</a:t>
          </a:r>
          <a:endParaRPr lang="en-US" sz="1400" b="1">
            <a:solidFill>
              <a:schemeClr val="tx1"/>
            </a:solidFill>
          </a:endParaRPr>
        </a:p>
      </xdr:txBody>
    </xdr:sp>
    <xdr:clientData/>
  </xdr:twoCellAnchor>
  <xdr:twoCellAnchor>
    <xdr:from>
      <xdr:col>10</xdr:col>
      <xdr:colOff>64770</xdr:colOff>
      <xdr:row>15</xdr:row>
      <xdr:rowOff>167640</xdr:rowOff>
    </xdr:from>
    <xdr:to>
      <xdr:col>12</xdr:col>
      <xdr:colOff>49530</xdr:colOff>
      <xdr:row>17</xdr:row>
      <xdr:rowOff>45720</xdr:rowOff>
    </xdr:to>
    <xdr:sp macro="" textlink="'pivot table sales'!E58">
      <xdr:nvSpPr>
        <xdr:cNvPr id="17" name="TextBox 16">
          <a:extLst>
            <a:ext uri="{FF2B5EF4-FFF2-40B4-BE49-F238E27FC236}">
              <a16:creationId xmlns:a16="http://schemas.microsoft.com/office/drawing/2014/main" id="{F98FA792-7CB7-4878-B5CD-9A3D831F2FF2}"/>
            </a:ext>
          </a:extLst>
        </xdr:cNvPr>
        <xdr:cNvSpPr txBox="1"/>
      </xdr:nvSpPr>
      <xdr:spPr>
        <a:xfrm>
          <a:off x="616077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6AB29C-18E8-4921-ACD4-ED1503B5DAB8}" type="TxLink">
            <a:rPr lang="en-US" sz="2000" b="1" i="0" u="none" strike="noStrike">
              <a:solidFill>
                <a:srgbClr val="000000"/>
              </a:solidFill>
              <a:latin typeface="Aptos Narrow"/>
            </a:rPr>
            <a:pPr/>
            <a:t>5</a:t>
          </a:fld>
          <a:endParaRPr lang="en-US" sz="2000" b="1">
            <a:solidFill>
              <a:schemeClr val="tx1">
                <a:lumMod val="50000"/>
                <a:lumOff val="50000"/>
              </a:schemeClr>
            </a:solidFill>
          </a:endParaRPr>
        </a:p>
      </xdr:txBody>
    </xdr:sp>
    <xdr:clientData/>
  </xdr:twoCellAnchor>
  <xdr:twoCellAnchor>
    <xdr:from>
      <xdr:col>12</xdr:col>
      <xdr:colOff>203835</xdr:colOff>
      <xdr:row>14</xdr:row>
      <xdr:rowOff>0</xdr:rowOff>
    </xdr:from>
    <xdr:to>
      <xdr:col>15</xdr:col>
      <xdr:colOff>241935</xdr:colOff>
      <xdr:row>17</xdr:row>
      <xdr:rowOff>175260</xdr:rowOff>
    </xdr:to>
    <xdr:sp macro="" textlink="">
      <xdr:nvSpPr>
        <xdr:cNvPr id="18" name="Rectangle 17">
          <a:extLst>
            <a:ext uri="{FF2B5EF4-FFF2-40B4-BE49-F238E27FC236}">
              <a16:creationId xmlns:a16="http://schemas.microsoft.com/office/drawing/2014/main" id="{E9718EED-2CB2-4122-BF77-D5E0542A5616}"/>
            </a:ext>
          </a:extLst>
        </xdr:cNvPr>
        <xdr:cNvSpPr/>
      </xdr:nvSpPr>
      <xdr:spPr>
        <a:xfrm>
          <a:off x="751903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13</xdr:col>
      <xdr:colOff>173355</xdr:colOff>
      <xdr:row>14</xdr:row>
      <xdr:rowOff>68580</xdr:rowOff>
    </xdr:from>
    <xdr:to>
      <xdr:col>15</xdr:col>
      <xdr:colOff>158115</xdr:colOff>
      <xdr:row>15</xdr:row>
      <xdr:rowOff>129540</xdr:rowOff>
    </xdr:to>
    <xdr:sp macro="" textlink="">
      <xdr:nvSpPr>
        <xdr:cNvPr id="19" name="TextBox 18">
          <a:extLst>
            <a:ext uri="{FF2B5EF4-FFF2-40B4-BE49-F238E27FC236}">
              <a16:creationId xmlns:a16="http://schemas.microsoft.com/office/drawing/2014/main" id="{9A95E90F-B7C0-4830-BD05-F736F8536E1A}"/>
            </a:ext>
          </a:extLst>
        </xdr:cNvPr>
        <xdr:cNvSpPr txBox="1"/>
      </xdr:nvSpPr>
      <xdr:spPr>
        <a:xfrm>
          <a:off x="809815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max</a:t>
          </a:r>
          <a:r>
            <a:rPr lang="en-US" sz="1400" b="1" baseline="0">
              <a:solidFill>
                <a:schemeClr val="tx1"/>
              </a:solidFill>
            </a:rPr>
            <a:t> amount</a:t>
          </a:r>
          <a:endParaRPr lang="en-US" sz="1400" b="1">
            <a:solidFill>
              <a:schemeClr val="tx1"/>
            </a:solidFill>
          </a:endParaRPr>
        </a:p>
      </xdr:txBody>
    </xdr:sp>
    <xdr:clientData/>
  </xdr:twoCellAnchor>
  <xdr:twoCellAnchor>
    <xdr:from>
      <xdr:col>13</xdr:col>
      <xdr:colOff>165735</xdr:colOff>
      <xdr:row>15</xdr:row>
      <xdr:rowOff>167640</xdr:rowOff>
    </xdr:from>
    <xdr:to>
      <xdr:col>15</xdr:col>
      <xdr:colOff>150495</xdr:colOff>
      <xdr:row>17</xdr:row>
      <xdr:rowOff>45720</xdr:rowOff>
    </xdr:to>
    <xdr:sp macro="" textlink="'pivot table sales'!L58">
      <xdr:nvSpPr>
        <xdr:cNvPr id="20" name="TextBox 19">
          <a:extLst>
            <a:ext uri="{FF2B5EF4-FFF2-40B4-BE49-F238E27FC236}">
              <a16:creationId xmlns:a16="http://schemas.microsoft.com/office/drawing/2014/main" id="{AEB6ECD8-687A-4899-94DD-8183EE171EDA}"/>
            </a:ext>
          </a:extLst>
        </xdr:cNvPr>
        <xdr:cNvSpPr txBox="1"/>
      </xdr:nvSpPr>
      <xdr:spPr>
        <a:xfrm>
          <a:off x="809053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1D7F6C5-C8E1-4D43-A1CB-57DBA7E894CD}" type="TxLink">
            <a:rPr lang="en-US" sz="2000" b="1" i="0" u="none" strike="noStrike">
              <a:solidFill>
                <a:srgbClr val="000000"/>
              </a:solidFill>
              <a:latin typeface="Aptos Narrow"/>
            </a:rPr>
            <a:pPr/>
            <a:t>1140</a:t>
          </a:fld>
          <a:endParaRPr lang="en-US" sz="2000" b="1">
            <a:solidFill>
              <a:schemeClr val="tx1">
                <a:lumMod val="50000"/>
                <a:lumOff val="50000"/>
              </a:schemeClr>
            </a:solidFill>
          </a:endParaRPr>
        </a:p>
      </xdr:txBody>
    </xdr:sp>
    <xdr:clientData/>
  </xdr:twoCellAnchor>
  <xdr:twoCellAnchor>
    <xdr:from>
      <xdr:col>15</xdr:col>
      <xdr:colOff>304800</xdr:colOff>
      <xdr:row>14</xdr:row>
      <xdr:rowOff>0</xdr:rowOff>
    </xdr:from>
    <xdr:to>
      <xdr:col>18</xdr:col>
      <xdr:colOff>342900</xdr:colOff>
      <xdr:row>17</xdr:row>
      <xdr:rowOff>175260</xdr:rowOff>
    </xdr:to>
    <xdr:sp macro="" textlink="">
      <xdr:nvSpPr>
        <xdr:cNvPr id="21" name="Rectangle 20">
          <a:extLst>
            <a:ext uri="{FF2B5EF4-FFF2-40B4-BE49-F238E27FC236}">
              <a16:creationId xmlns:a16="http://schemas.microsoft.com/office/drawing/2014/main" id="{1867FAFD-F685-41F1-93AF-07E92CB9C65C}"/>
            </a:ext>
          </a:extLst>
        </xdr:cNvPr>
        <xdr:cNvSpPr/>
      </xdr:nvSpPr>
      <xdr:spPr>
        <a:xfrm>
          <a:off x="944880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6</xdr:col>
      <xdr:colOff>121920</xdr:colOff>
      <xdr:row>14</xdr:row>
      <xdr:rowOff>144780</xdr:rowOff>
    </xdr:from>
    <xdr:to>
      <xdr:col>6</xdr:col>
      <xdr:colOff>579120</xdr:colOff>
      <xdr:row>17</xdr:row>
      <xdr:rowOff>53340</xdr:rowOff>
    </xdr:to>
    <xdr:pic>
      <xdr:nvPicPr>
        <xdr:cNvPr id="22" name="Graphic 21" descr="Coins with solid fill">
          <a:extLst>
            <a:ext uri="{FF2B5EF4-FFF2-40B4-BE49-F238E27FC236}">
              <a16:creationId xmlns:a16="http://schemas.microsoft.com/office/drawing/2014/main" id="{46A10D10-A824-490B-BCA9-3D888381EC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9520" y="2705100"/>
          <a:ext cx="457200" cy="457200"/>
        </a:xfrm>
        <a:prstGeom prst="rect">
          <a:avLst/>
        </a:prstGeom>
      </xdr:spPr>
    </xdr:pic>
    <xdr:clientData/>
  </xdr:twoCellAnchor>
  <xdr:twoCellAnchor>
    <xdr:from>
      <xdr:col>16</xdr:col>
      <xdr:colOff>274320</xdr:colOff>
      <xdr:row>14</xdr:row>
      <xdr:rowOff>68580</xdr:rowOff>
    </xdr:from>
    <xdr:to>
      <xdr:col>18</xdr:col>
      <xdr:colOff>259080</xdr:colOff>
      <xdr:row>15</xdr:row>
      <xdr:rowOff>129540</xdr:rowOff>
    </xdr:to>
    <xdr:sp macro="" textlink="">
      <xdr:nvSpPr>
        <xdr:cNvPr id="23" name="TextBox 22">
          <a:extLst>
            <a:ext uri="{FF2B5EF4-FFF2-40B4-BE49-F238E27FC236}">
              <a16:creationId xmlns:a16="http://schemas.microsoft.com/office/drawing/2014/main" id="{F244F522-A6DF-4E0B-A02F-9D113FB28023}"/>
            </a:ext>
          </a:extLst>
        </xdr:cNvPr>
        <xdr:cNvSpPr txBox="1"/>
      </xdr:nvSpPr>
      <xdr:spPr>
        <a:xfrm>
          <a:off x="1002792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min amount</a:t>
          </a:r>
        </a:p>
      </xdr:txBody>
    </xdr:sp>
    <xdr:clientData/>
  </xdr:twoCellAnchor>
  <xdr:twoCellAnchor>
    <xdr:from>
      <xdr:col>16</xdr:col>
      <xdr:colOff>266700</xdr:colOff>
      <xdr:row>15</xdr:row>
      <xdr:rowOff>167640</xdr:rowOff>
    </xdr:from>
    <xdr:to>
      <xdr:col>18</xdr:col>
      <xdr:colOff>251460</xdr:colOff>
      <xdr:row>17</xdr:row>
      <xdr:rowOff>45720</xdr:rowOff>
    </xdr:to>
    <xdr:sp macro="" textlink="'pivot table sales'!O58">
      <xdr:nvSpPr>
        <xdr:cNvPr id="24" name="TextBox 23">
          <a:extLst>
            <a:ext uri="{FF2B5EF4-FFF2-40B4-BE49-F238E27FC236}">
              <a16:creationId xmlns:a16="http://schemas.microsoft.com/office/drawing/2014/main" id="{2E930C79-650D-4E81-91C6-651C3146E09E}"/>
            </a:ext>
          </a:extLst>
        </xdr:cNvPr>
        <xdr:cNvSpPr txBox="1"/>
      </xdr:nvSpPr>
      <xdr:spPr>
        <a:xfrm>
          <a:off x="1002030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1B7C0D-CD6D-4BF8-9D45-33709A0F4171}" type="TxLink">
            <a:rPr lang="en-US" sz="2000" b="1" i="0" u="none" strike="noStrike">
              <a:solidFill>
                <a:srgbClr val="000000"/>
              </a:solidFill>
              <a:latin typeface="Aptos Narrow"/>
            </a:rPr>
            <a:pPr/>
            <a:t>190</a:t>
          </a:fld>
          <a:endParaRPr lang="en-US" sz="2000" b="1">
            <a:solidFill>
              <a:schemeClr val="tx1">
                <a:lumMod val="50000"/>
                <a:lumOff val="50000"/>
              </a:schemeClr>
            </a:solidFill>
          </a:endParaRPr>
        </a:p>
      </xdr:txBody>
    </xdr:sp>
    <xdr:clientData/>
  </xdr:twoCellAnchor>
  <xdr:twoCellAnchor editAs="oneCell">
    <xdr:from>
      <xdr:col>9</xdr:col>
      <xdr:colOff>190500</xdr:colOff>
      <xdr:row>14</xdr:row>
      <xdr:rowOff>160020</xdr:rowOff>
    </xdr:from>
    <xdr:to>
      <xdr:col>10</xdr:col>
      <xdr:colOff>38100</xdr:colOff>
      <xdr:row>17</xdr:row>
      <xdr:rowOff>68580</xdr:rowOff>
    </xdr:to>
    <xdr:pic>
      <xdr:nvPicPr>
        <xdr:cNvPr id="25" name="Graphic 24" descr="Medical with solid fill">
          <a:extLst>
            <a:ext uri="{FF2B5EF4-FFF2-40B4-BE49-F238E27FC236}">
              <a16:creationId xmlns:a16="http://schemas.microsoft.com/office/drawing/2014/main" id="{FC9FBDBE-469E-442F-B111-2E0F93456D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76900" y="2720340"/>
          <a:ext cx="457200" cy="457200"/>
        </a:xfrm>
        <a:prstGeom prst="rect">
          <a:avLst/>
        </a:prstGeom>
      </xdr:spPr>
    </xdr:pic>
    <xdr:clientData/>
  </xdr:twoCellAnchor>
  <xdr:twoCellAnchor editAs="oneCell">
    <xdr:from>
      <xdr:col>12</xdr:col>
      <xdr:colOff>335280</xdr:colOff>
      <xdr:row>14</xdr:row>
      <xdr:rowOff>160020</xdr:rowOff>
    </xdr:from>
    <xdr:to>
      <xdr:col>13</xdr:col>
      <xdr:colOff>182880</xdr:colOff>
      <xdr:row>17</xdr:row>
      <xdr:rowOff>68580</xdr:rowOff>
    </xdr:to>
    <xdr:pic>
      <xdr:nvPicPr>
        <xdr:cNvPr id="26" name="Graphic 25" descr="Bar graph with upward trend with solid fill">
          <a:extLst>
            <a:ext uri="{FF2B5EF4-FFF2-40B4-BE49-F238E27FC236}">
              <a16:creationId xmlns:a16="http://schemas.microsoft.com/office/drawing/2014/main" id="{BC21397D-F525-426A-A3AB-50BA33EB29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50480" y="2720340"/>
          <a:ext cx="457200" cy="457200"/>
        </a:xfrm>
        <a:prstGeom prst="rect">
          <a:avLst/>
        </a:prstGeom>
      </xdr:spPr>
    </xdr:pic>
    <xdr:clientData/>
  </xdr:twoCellAnchor>
  <xdr:twoCellAnchor editAs="oneCell">
    <xdr:from>
      <xdr:col>15</xdr:col>
      <xdr:colOff>457200</xdr:colOff>
      <xdr:row>14</xdr:row>
      <xdr:rowOff>144780</xdr:rowOff>
    </xdr:from>
    <xdr:to>
      <xdr:col>16</xdr:col>
      <xdr:colOff>304800</xdr:colOff>
      <xdr:row>17</xdr:row>
      <xdr:rowOff>53340</xdr:rowOff>
    </xdr:to>
    <xdr:pic>
      <xdr:nvPicPr>
        <xdr:cNvPr id="27" name="Graphic 26" descr="Bar graph with downward trend with solid fill">
          <a:extLst>
            <a:ext uri="{FF2B5EF4-FFF2-40B4-BE49-F238E27FC236}">
              <a16:creationId xmlns:a16="http://schemas.microsoft.com/office/drawing/2014/main" id="{4E9B980F-15F5-468A-914C-9F864B39E24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01200" y="2705100"/>
          <a:ext cx="457200" cy="457200"/>
        </a:xfrm>
        <a:prstGeom prst="rect">
          <a:avLst/>
        </a:prstGeom>
      </xdr:spPr>
    </xdr:pic>
    <xdr:clientData/>
  </xdr:twoCellAnchor>
  <xdr:twoCellAnchor>
    <xdr:from>
      <xdr:col>0</xdr:col>
      <xdr:colOff>220980</xdr:colOff>
      <xdr:row>8</xdr:row>
      <xdr:rowOff>53340</xdr:rowOff>
    </xdr:from>
    <xdr:to>
      <xdr:col>2</xdr:col>
      <xdr:colOff>15240</xdr:colOff>
      <xdr:row>10</xdr:row>
      <xdr:rowOff>15240</xdr:rowOff>
    </xdr:to>
    <xdr:sp macro="" textlink="">
      <xdr:nvSpPr>
        <xdr:cNvPr id="30" name="TextBox 29">
          <a:hlinkClick xmlns:r="http://schemas.openxmlformats.org/officeDocument/2006/relationships" r:id="rId11"/>
          <a:extLst>
            <a:ext uri="{FF2B5EF4-FFF2-40B4-BE49-F238E27FC236}">
              <a16:creationId xmlns:a16="http://schemas.microsoft.com/office/drawing/2014/main" id="{44412ADA-E3E4-46CB-948B-9B339E55007E}"/>
            </a:ext>
          </a:extLst>
        </xdr:cNvPr>
        <xdr:cNvSpPr txBox="1"/>
      </xdr:nvSpPr>
      <xdr:spPr>
        <a:xfrm>
          <a:off x="220980" y="151638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dashboard</a:t>
          </a:r>
        </a:p>
      </xdr:txBody>
    </xdr:sp>
    <xdr:clientData/>
  </xdr:twoCellAnchor>
  <xdr:twoCellAnchor>
    <xdr:from>
      <xdr:col>0</xdr:col>
      <xdr:colOff>220980</xdr:colOff>
      <xdr:row>11</xdr:row>
      <xdr:rowOff>160020</xdr:rowOff>
    </xdr:from>
    <xdr:to>
      <xdr:col>2</xdr:col>
      <xdr:colOff>15240</xdr:colOff>
      <xdr:row>13</xdr:row>
      <xdr:rowOff>121920</xdr:rowOff>
    </xdr:to>
    <xdr:sp macro="" textlink="">
      <xdr:nvSpPr>
        <xdr:cNvPr id="31" name="TextBox 30">
          <a:hlinkClick xmlns:r="http://schemas.openxmlformats.org/officeDocument/2006/relationships" r:id="rId12"/>
          <a:extLst>
            <a:ext uri="{FF2B5EF4-FFF2-40B4-BE49-F238E27FC236}">
              <a16:creationId xmlns:a16="http://schemas.microsoft.com/office/drawing/2014/main" id="{FAB0E04B-B33E-4720-9FD7-B6A7CC7C4605}"/>
            </a:ext>
          </a:extLst>
        </xdr:cNvPr>
        <xdr:cNvSpPr txBox="1"/>
      </xdr:nvSpPr>
      <xdr:spPr>
        <a:xfrm>
          <a:off x="220980" y="217170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products</a:t>
          </a:r>
        </a:p>
      </xdr:txBody>
    </xdr:sp>
    <xdr:clientData/>
  </xdr:twoCellAnchor>
  <xdr:twoCellAnchor>
    <xdr:from>
      <xdr:col>0</xdr:col>
      <xdr:colOff>220980</xdr:colOff>
      <xdr:row>15</xdr:row>
      <xdr:rowOff>83820</xdr:rowOff>
    </xdr:from>
    <xdr:to>
      <xdr:col>2</xdr:col>
      <xdr:colOff>15240</xdr:colOff>
      <xdr:row>17</xdr:row>
      <xdr:rowOff>45720</xdr:rowOff>
    </xdr:to>
    <xdr:sp macro="" textlink="">
      <xdr:nvSpPr>
        <xdr:cNvPr id="32" name="TextBox 31">
          <a:hlinkClick xmlns:r="http://schemas.openxmlformats.org/officeDocument/2006/relationships" r:id="rId13"/>
          <a:extLst>
            <a:ext uri="{FF2B5EF4-FFF2-40B4-BE49-F238E27FC236}">
              <a16:creationId xmlns:a16="http://schemas.microsoft.com/office/drawing/2014/main" id="{EC8A849D-A3CA-41BD-ACF5-E3B126F53724}"/>
            </a:ext>
          </a:extLst>
        </xdr:cNvPr>
        <xdr:cNvSpPr txBox="1"/>
      </xdr:nvSpPr>
      <xdr:spPr>
        <a:xfrm>
          <a:off x="220980" y="282702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sales</a:t>
          </a:r>
          <a:r>
            <a:rPr lang="en-US" sz="1200" b="1" baseline="0"/>
            <a:t> man</a:t>
          </a:r>
          <a:endParaRPr lang="en-US" sz="1200" b="1"/>
        </a:p>
      </xdr:txBody>
    </xdr:sp>
    <xdr:clientData/>
  </xdr:twoCellAnchor>
  <xdr:twoCellAnchor>
    <xdr:from>
      <xdr:col>2</xdr:col>
      <xdr:colOff>510540</xdr:colOff>
      <xdr:row>18</xdr:row>
      <xdr:rowOff>160020</xdr:rowOff>
    </xdr:from>
    <xdr:to>
      <xdr:col>10</xdr:col>
      <xdr:colOff>434340</xdr:colOff>
      <xdr:row>34</xdr:row>
      <xdr:rowOff>76200</xdr:rowOff>
    </xdr:to>
    <xdr:graphicFrame macro="">
      <xdr:nvGraphicFramePr>
        <xdr:cNvPr id="33" name="Chart 32">
          <a:extLst>
            <a:ext uri="{FF2B5EF4-FFF2-40B4-BE49-F238E27FC236}">
              <a16:creationId xmlns:a16="http://schemas.microsoft.com/office/drawing/2014/main" id="{DDA229AA-D044-476B-9877-5799DB577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548640</xdr:colOff>
      <xdr:row>18</xdr:row>
      <xdr:rowOff>152400</xdr:rowOff>
    </xdr:from>
    <xdr:to>
      <xdr:col>18</xdr:col>
      <xdr:colOff>373380</xdr:colOff>
      <xdr:row>34</xdr:row>
      <xdr:rowOff>83820</xdr:rowOff>
    </xdr:to>
    <xdr:graphicFrame macro="">
      <xdr:nvGraphicFramePr>
        <xdr:cNvPr id="34" name="Chart 33">
          <a:extLst>
            <a:ext uri="{FF2B5EF4-FFF2-40B4-BE49-F238E27FC236}">
              <a16:creationId xmlns:a16="http://schemas.microsoft.com/office/drawing/2014/main" id="{39A503D3-2E06-4470-96E9-BFE7BCA71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121920</xdr:colOff>
      <xdr:row>40</xdr:row>
      <xdr:rowOff>106680</xdr:rowOff>
    </xdr:to>
    <xdr:sp macro="" textlink="">
      <xdr:nvSpPr>
        <xdr:cNvPr id="2" name="Rectangle 1">
          <a:extLst>
            <a:ext uri="{FF2B5EF4-FFF2-40B4-BE49-F238E27FC236}">
              <a16:creationId xmlns:a16="http://schemas.microsoft.com/office/drawing/2014/main" id="{7009866B-7BC1-55E4-835A-81157924874A}"/>
            </a:ext>
          </a:extLst>
        </xdr:cNvPr>
        <xdr:cNvSpPr/>
      </xdr:nvSpPr>
      <xdr:spPr>
        <a:xfrm>
          <a:off x="0" y="0"/>
          <a:ext cx="12923520" cy="7421880"/>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205740</xdr:colOff>
      <xdr:row>0</xdr:row>
      <xdr:rowOff>0</xdr:rowOff>
    </xdr:from>
    <xdr:to>
      <xdr:col>19</xdr:col>
      <xdr:colOff>60960</xdr:colOff>
      <xdr:row>39</xdr:row>
      <xdr:rowOff>15240</xdr:rowOff>
    </xdr:to>
    <xdr:sp macro="" textlink="">
      <xdr:nvSpPr>
        <xdr:cNvPr id="3" name="Rectangle: Rounded Corners 2">
          <a:extLst>
            <a:ext uri="{FF2B5EF4-FFF2-40B4-BE49-F238E27FC236}">
              <a16:creationId xmlns:a16="http://schemas.microsoft.com/office/drawing/2014/main" id="{99FBA0EC-E5F7-43F1-9F4A-E924429A97E5}"/>
            </a:ext>
          </a:extLst>
        </xdr:cNvPr>
        <xdr:cNvSpPr/>
      </xdr:nvSpPr>
      <xdr:spPr>
        <a:xfrm>
          <a:off x="1424940" y="0"/>
          <a:ext cx="10218420" cy="7147560"/>
        </a:xfrm>
        <a:prstGeom prst="roundRect">
          <a:avLst>
            <a:gd name="adj" fmla="val 379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514350</xdr:colOff>
      <xdr:row>0</xdr:row>
      <xdr:rowOff>152400</xdr:rowOff>
    </xdr:from>
    <xdr:to>
      <xdr:col>18</xdr:col>
      <xdr:colOff>361950</xdr:colOff>
      <xdr:row>3</xdr:row>
      <xdr:rowOff>106680</xdr:rowOff>
    </xdr:to>
    <xdr:sp macro="" textlink="">
      <xdr:nvSpPr>
        <xdr:cNvPr id="4" name="TextBox 3">
          <a:extLst>
            <a:ext uri="{FF2B5EF4-FFF2-40B4-BE49-F238E27FC236}">
              <a16:creationId xmlns:a16="http://schemas.microsoft.com/office/drawing/2014/main" id="{36FC7DC9-EFB1-AAF0-D8A0-4434D6AE4CF5}"/>
            </a:ext>
          </a:extLst>
        </xdr:cNvPr>
        <xdr:cNvSpPr txBox="1"/>
      </xdr:nvSpPr>
      <xdr:spPr>
        <a:xfrm>
          <a:off x="1733550" y="152400"/>
          <a:ext cx="9601200" cy="50292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dashboard sales</a:t>
          </a:r>
        </a:p>
      </xdr:txBody>
    </xdr:sp>
    <xdr:clientData/>
  </xdr:twoCellAnchor>
  <xdr:twoCellAnchor editAs="oneCell">
    <xdr:from>
      <xdr:col>2</xdr:col>
      <xdr:colOff>502920</xdr:colOff>
      <xdr:row>4</xdr:row>
      <xdr:rowOff>30480</xdr:rowOff>
    </xdr:from>
    <xdr:to>
      <xdr:col>18</xdr:col>
      <xdr:colOff>373380</xdr:colOff>
      <xdr:row>9</xdr:row>
      <xdr:rowOff>15240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B2017A12-39C2-4A10-BA3E-F20D0EDDCBE4}"/>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22120" y="762000"/>
              <a:ext cx="9624060" cy="899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502920</xdr:colOff>
      <xdr:row>8</xdr:row>
      <xdr:rowOff>91440</xdr:rowOff>
    </xdr:from>
    <xdr:to>
      <xdr:col>18</xdr:col>
      <xdr:colOff>342900</xdr:colOff>
      <xdr:row>14</xdr:row>
      <xdr:rowOff>45720</xdr:rowOff>
    </xdr:to>
    <mc:AlternateContent xmlns:mc="http://schemas.openxmlformats.org/markup-compatibility/2006" xmlns:a14="http://schemas.microsoft.com/office/drawing/2010/main">
      <mc:Choice Requires="a14">
        <xdr:graphicFrame macro="">
          <xdr:nvGraphicFramePr>
            <xdr:cNvPr id="8" name="Item 1">
              <a:extLst>
                <a:ext uri="{FF2B5EF4-FFF2-40B4-BE49-F238E27FC236}">
                  <a16:creationId xmlns:a16="http://schemas.microsoft.com/office/drawing/2014/main" id="{6C1703E5-4899-43F8-B999-3D892F6D3EF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722120" y="1554480"/>
              <a:ext cx="959358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510540</xdr:colOff>
      <xdr:row>14</xdr:row>
      <xdr:rowOff>0</xdr:rowOff>
    </xdr:from>
    <xdr:to>
      <xdr:col>5</xdr:col>
      <xdr:colOff>548640</xdr:colOff>
      <xdr:row>17</xdr:row>
      <xdr:rowOff>175260</xdr:rowOff>
    </xdr:to>
    <xdr:grpSp>
      <xdr:nvGrpSpPr>
        <xdr:cNvPr id="19" name="Group 18">
          <a:extLst>
            <a:ext uri="{FF2B5EF4-FFF2-40B4-BE49-F238E27FC236}">
              <a16:creationId xmlns:a16="http://schemas.microsoft.com/office/drawing/2014/main" id="{09416882-AEE3-0D0F-7A2D-8708678991DB}"/>
            </a:ext>
          </a:extLst>
        </xdr:cNvPr>
        <xdr:cNvGrpSpPr/>
      </xdr:nvGrpSpPr>
      <xdr:grpSpPr>
        <a:xfrm>
          <a:off x="1729740" y="2560320"/>
          <a:ext cx="1866900" cy="723900"/>
          <a:chOff x="1729740" y="2545080"/>
          <a:chExt cx="1866900" cy="723900"/>
        </a:xfrm>
      </xdr:grpSpPr>
      <xdr:sp macro="" textlink="">
        <xdr:nvSpPr>
          <xdr:cNvPr id="9" name="Rectangle 8">
            <a:extLst>
              <a:ext uri="{FF2B5EF4-FFF2-40B4-BE49-F238E27FC236}">
                <a16:creationId xmlns:a16="http://schemas.microsoft.com/office/drawing/2014/main" id="{18D741F2-94A6-9083-963E-148C42489A1E}"/>
              </a:ext>
            </a:extLst>
          </xdr:cNvPr>
          <xdr:cNvSpPr/>
        </xdr:nvSpPr>
        <xdr:spPr>
          <a:xfrm>
            <a:off x="1729740" y="254508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pic>
        <xdr:nvPicPr>
          <xdr:cNvPr id="15" name="Graphic 14" descr="Dollar with solid fill">
            <a:extLst>
              <a:ext uri="{FF2B5EF4-FFF2-40B4-BE49-F238E27FC236}">
                <a16:creationId xmlns:a16="http://schemas.microsoft.com/office/drawing/2014/main" id="{D1511946-33EA-ABA2-CABB-EA7FB4EFD8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0" y="2678430"/>
            <a:ext cx="457200" cy="457200"/>
          </a:xfrm>
          <a:prstGeom prst="rect">
            <a:avLst/>
          </a:prstGeom>
        </xdr:spPr>
      </xdr:pic>
      <xdr:sp macro="" textlink="">
        <xdr:nvSpPr>
          <xdr:cNvPr id="16" name="TextBox 15">
            <a:extLst>
              <a:ext uri="{FF2B5EF4-FFF2-40B4-BE49-F238E27FC236}">
                <a16:creationId xmlns:a16="http://schemas.microsoft.com/office/drawing/2014/main" id="{48E1A337-C337-C9A0-408E-0C78FD60C19A}"/>
              </a:ext>
            </a:extLst>
          </xdr:cNvPr>
          <xdr:cNvSpPr txBox="1"/>
        </xdr:nvSpPr>
        <xdr:spPr>
          <a:xfrm>
            <a:off x="2308860" y="261366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sales</a:t>
            </a:r>
            <a:endParaRPr lang="en-US" sz="1400" b="1">
              <a:solidFill>
                <a:schemeClr val="tx1"/>
              </a:solidFill>
            </a:endParaRPr>
          </a:p>
        </xdr:txBody>
      </xdr:sp>
      <xdr:sp macro="" textlink="'pivot table sales'!$B$58">
        <xdr:nvSpPr>
          <xdr:cNvPr id="18" name="TextBox 17">
            <a:extLst>
              <a:ext uri="{FF2B5EF4-FFF2-40B4-BE49-F238E27FC236}">
                <a16:creationId xmlns:a16="http://schemas.microsoft.com/office/drawing/2014/main" id="{F8FF8917-4B4C-4C46-9C9B-3E4F468A063A}"/>
              </a:ext>
            </a:extLst>
          </xdr:cNvPr>
          <xdr:cNvSpPr txBox="1"/>
        </xdr:nvSpPr>
        <xdr:spPr>
          <a:xfrm>
            <a:off x="2301240" y="28956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61A2D4-AF1E-4E8D-8E3A-6F7E42BE1E79}" type="TxLink">
              <a:rPr lang="en-US" sz="2000" b="1" i="0" u="none" strike="noStrike">
                <a:solidFill>
                  <a:srgbClr val="000000"/>
                </a:solidFill>
                <a:latin typeface="Aptos Narrow"/>
              </a:rPr>
              <a:pPr/>
              <a:t>3230</a:t>
            </a:fld>
            <a:endParaRPr lang="en-US" sz="2000" b="1">
              <a:solidFill>
                <a:schemeClr val="tx1">
                  <a:lumMod val="50000"/>
                  <a:lumOff val="50000"/>
                </a:schemeClr>
              </a:solidFill>
            </a:endParaRPr>
          </a:p>
        </xdr:txBody>
      </xdr:sp>
    </xdr:grpSp>
    <xdr:clientData/>
  </xdr:twoCellAnchor>
  <xdr:twoCellAnchor>
    <xdr:from>
      <xdr:col>6</xdr:col>
      <xdr:colOff>1905</xdr:colOff>
      <xdr:row>14</xdr:row>
      <xdr:rowOff>0</xdr:rowOff>
    </xdr:from>
    <xdr:to>
      <xdr:col>9</xdr:col>
      <xdr:colOff>40005</xdr:colOff>
      <xdr:row>17</xdr:row>
      <xdr:rowOff>175260</xdr:rowOff>
    </xdr:to>
    <xdr:sp macro="" textlink="">
      <xdr:nvSpPr>
        <xdr:cNvPr id="21" name="Rectangle 20">
          <a:extLst>
            <a:ext uri="{FF2B5EF4-FFF2-40B4-BE49-F238E27FC236}">
              <a16:creationId xmlns:a16="http://schemas.microsoft.com/office/drawing/2014/main" id="{0F42413F-D847-3A45-06F5-44B9F0CE6153}"/>
            </a:ext>
          </a:extLst>
        </xdr:cNvPr>
        <xdr:cNvSpPr/>
      </xdr:nvSpPr>
      <xdr:spPr>
        <a:xfrm>
          <a:off x="365950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6</xdr:col>
      <xdr:colOff>581025</xdr:colOff>
      <xdr:row>14</xdr:row>
      <xdr:rowOff>68580</xdr:rowOff>
    </xdr:from>
    <xdr:to>
      <xdr:col>8</xdr:col>
      <xdr:colOff>565785</xdr:colOff>
      <xdr:row>15</xdr:row>
      <xdr:rowOff>129540</xdr:rowOff>
    </xdr:to>
    <xdr:sp macro="" textlink="">
      <xdr:nvSpPr>
        <xdr:cNvPr id="23" name="TextBox 22">
          <a:extLst>
            <a:ext uri="{FF2B5EF4-FFF2-40B4-BE49-F238E27FC236}">
              <a16:creationId xmlns:a16="http://schemas.microsoft.com/office/drawing/2014/main" id="{E84FFFCB-B9FE-497D-38DD-3BA017F05387}"/>
            </a:ext>
          </a:extLst>
        </xdr:cNvPr>
        <xdr:cNvSpPr txBox="1"/>
      </xdr:nvSpPr>
      <xdr:spPr>
        <a:xfrm>
          <a:off x="423862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avg</a:t>
          </a:r>
          <a:r>
            <a:rPr lang="en-US" sz="1400" b="1" baseline="0">
              <a:solidFill>
                <a:schemeClr val="tx1"/>
              </a:solidFill>
            </a:rPr>
            <a:t> sales</a:t>
          </a:r>
          <a:endParaRPr lang="en-US" sz="1400" b="1">
            <a:solidFill>
              <a:schemeClr val="tx1"/>
            </a:solidFill>
          </a:endParaRPr>
        </a:p>
      </xdr:txBody>
    </xdr:sp>
    <xdr:clientData/>
  </xdr:twoCellAnchor>
  <xdr:twoCellAnchor>
    <xdr:from>
      <xdr:col>6</xdr:col>
      <xdr:colOff>573405</xdr:colOff>
      <xdr:row>15</xdr:row>
      <xdr:rowOff>167640</xdr:rowOff>
    </xdr:from>
    <xdr:to>
      <xdr:col>8</xdr:col>
      <xdr:colOff>558165</xdr:colOff>
      <xdr:row>17</xdr:row>
      <xdr:rowOff>45720</xdr:rowOff>
    </xdr:to>
    <xdr:sp macro="" textlink="'pivot table sales'!I58">
      <xdr:nvSpPr>
        <xdr:cNvPr id="24" name="TextBox 23">
          <a:extLst>
            <a:ext uri="{FF2B5EF4-FFF2-40B4-BE49-F238E27FC236}">
              <a16:creationId xmlns:a16="http://schemas.microsoft.com/office/drawing/2014/main" id="{D0DC526F-3FC0-08FA-3AA6-250D9F3A79D5}"/>
            </a:ext>
          </a:extLst>
        </xdr:cNvPr>
        <xdr:cNvSpPr txBox="1"/>
      </xdr:nvSpPr>
      <xdr:spPr>
        <a:xfrm>
          <a:off x="423100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CCF8661-11D4-40D4-9433-86C961626A6C}" type="TxLink">
            <a:rPr lang="en-US" sz="2000" b="1" i="0" u="none" strike="noStrike">
              <a:solidFill>
                <a:srgbClr val="000000"/>
              </a:solidFill>
              <a:latin typeface="Aptos Narrow"/>
            </a:rPr>
            <a:pPr/>
            <a:t>646</a:t>
          </a:fld>
          <a:endParaRPr lang="en-US" sz="2000" b="1">
            <a:solidFill>
              <a:schemeClr val="tx1">
                <a:lumMod val="50000"/>
                <a:lumOff val="50000"/>
              </a:schemeClr>
            </a:solidFill>
          </a:endParaRPr>
        </a:p>
      </xdr:txBody>
    </xdr:sp>
    <xdr:clientData/>
  </xdr:twoCellAnchor>
  <xdr:twoCellAnchor>
    <xdr:from>
      <xdr:col>9</xdr:col>
      <xdr:colOff>102870</xdr:colOff>
      <xdr:row>14</xdr:row>
      <xdr:rowOff>0</xdr:rowOff>
    </xdr:from>
    <xdr:to>
      <xdr:col>12</xdr:col>
      <xdr:colOff>140970</xdr:colOff>
      <xdr:row>17</xdr:row>
      <xdr:rowOff>175260</xdr:rowOff>
    </xdr:to>
    <xdr:sp macro="" textlink="">
      <xdr:nvSpPr>
        <xdr:cNvPr id="26" name="Rectangle 25">
          <a:extLst>
            <a:ext uri="{FF2B5EF4-FFF2-40B4-BE49-F238E27FC236}">
              <a16:creationId xmlns:a16="http://schemas.microsoft.com/office/drawing/2014/main" id="{E451EFD7-B4FD-6F44-167C-E070078C1CE6}"/>
            </a:ext>
          </a:extLst>
        </xdr:cNvPr>
        <xdr:cNvSpPr/>
      </xdr:nvSpPr>
      <xdr:spPr>
        <a:xfrm>
          <a:off x="558927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72390</xdr:colOff>
      <xdr:row>14</xdr:row>
      <xdr:rowOff>68580</xdr:rowOff>
    </xdr:from>
    <xdr:to>
      <xdr:col>12</xdr:col>
      <xdr:colOff>57150</xdr:colOff>
      <xdr:row>15</xdr:row>
      <xdr:rowOff>129540</xdr:rowOff>
    </xdr:to>
    <xdr:sp macro="" textlink="">
      <xdr:nvSpPr>
        <xdr:cNvPr id="28" name="TextBox 27">
          <a:extLst>
            <a:ext uri="{FF2B5EF4-FFF2-40B4-BE49-F238E27FC236}">
              <a16:creationId xmlns:a16="http://schemas.microsoft.com/office/drawing/2014/main" id="{0633CB5B-45FD-35F6-BA3E-84D58292881C}"/>
            </a:ext>
          </a:extLst>
        </xdr:cNvPr>
        <xdr:cNvSpPr txBox="1"/>
      </xdr:nvSpPr>
      <xdr:spPr>
        <a:xfrm>
          <a:off x="616839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total</a:t>
          </a:r>
          <a:r>
            <a:rPr lang="en-US" sz="1400" b="1" baseline="0">
              <a:solidFill>
                <a:schemeClr val="tx1"/>
              </a:solidFill>
            </a:rPr>
            <a:t> items</a:t>
          </a:r>
          <a:endParaRPr lang="en-US" sz="1400" b="1">
            <a:solidFill>
              <a:schemeClr val="tx1"/>
            </a:solidFill>
          </a:endParaRPr>
        </a:p>
      </xdr:txBody>
    </xdr:sp>
    <xdr:clientData/>
  </xdr:twoCellAnchor>
  <xdr:twoCellAnchor>
    <xdr:from>
      <xdr:col>10</xdr:col>
      <xdr:colOff>64770</xdr:colOff>
      <xdr:row>15</xdr:row>
      <xdr:rowOff>167640</xdr:rowOff>
    </xdr:from>
    <xdr:to>
      <xdr:col>12</xdr:col>
      <xdr:colOff>49530</xdr:colOff>
      <xdr:row>17</xdr:row>
      <xdr:rowOff>45720</xdr:rowOff>
    </xdr:to>
    <xdr:sp macro="" textlink="'pivot table sales'!E58">
      <xdr:nvSpPr>
        <xdr:cNvPr id="29" name="TextBox 28">
          <a:extLst>
            <a:ext uri="{FF2B5EF4-FFF2-40B4-BE49-F238E27FC236}">
              <a16:creationId xmlns:a16="http://schemas.microsoft.com/office/drawing/2014/main" id="{CA0B8CED-C9A7-0500-A022-6604BDCD2755}"/>
            </a:ext>
          </a:extLst>
        </xdr:cNvPr>
        <xdr:cNvSpPr txBox="1"/>
      </xdr:nvSpPr>
      <xdr:spPr>
        <a:xfrm>
          <a:off x="616077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6AB29C-18E8-4921-ACD4-ED1503B5DAB8}" type="TxLink">
            <a:rPr lang="en-US" sz="2000" b="1" i="0" u="none" strike="noStrike">
              <a:solidFill>
                <a:srgbClr val="000000"/>
              </a:solidFill>
              <a:latin typeface="Aptos Narrow"/>
            </a:rPr>
            <a:pPr/>
            <a:t>5</a:t>
          </a:fld>
          <a:endParaRPr lang="en-US" sz="2000" b="1">
            <a:solidFill>
              <a:schemeClr val="tx1">
                <a:lumMod val="50000"/>
                <a:lumOff val="50000"/>
              </a:schemeClr>
            </a:solidFill>
          </a:endParaRPr>
        </a:p>
      </xdr:txBody>
    </xdr:sp>
    <xdr:clientData/>
  </xdr:twoCellAnchor>
  <xdr:twoCellAnchor>
    <xdr:from>
      <xdr:col>12</xdr:col>
      <xdr:colOff>203835</xdr:colOff>
      <xdr:row>14</xdr:row>
      <xdr:rowOff>0</xdr:rowOff>
    </xdr:from>
    <xdr:to>
      <xdr:col>15</xdr:col>
      <xdr:colOff>241935</xdr:colOff>
      <xdr:row>17</xdr:row>
      <xdr:rowOff>175260</xdr:rowOff>
    </xdr:to>
    <xdr:sp macro="" textlink="">
      <xdr:nvSpPr>
        <xdr:cNvPr id="31" name="Rectangle 30">
          <a:extLst>
            <a:ext uri="{FF2B5EF4-FFF2-40B4-BE49-F238E27FC236}">
              <a16:creationId xmlns:a16="http://schemas.microsoft.com/office/drawing/2014/main" id="{931A5C9B-DD87-966C-6583-9A3363123D07}"/>
            </a:ext>
          </a:extLst>
        </xdr:cNvPr>
        <xdr:cNvSpPr/>
      </xdr:nvSpPr>
      <xdr:spPr>
        <a:xfrm>
          <a:off x="7519035"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13</xdr:col>
      <xdr:colOff>173355</xdr:colOff>
      <xdr:row>14</xdr:row>
      <xdr:rowOff>68580</xdr:rowOff>
    </xdr:from>
    <xdr:to>
      <xdr:col>15</xdr:col>
      <xdr:colOff>158115</xdr:colOff>
      <xdr:row>15</xdr:row>
      <xdr:rowOff>129540</xdr:rowOff>
    </xdr:to>
    <xdr:sp macro="" textlink="">
      <xdr:nvSpPr>
        <xdr:cNvPr id="33" name="TextBox 32">
          <a:extLst>
            <a:ext uri="{FF2B5EF4-FFF2-40B4-BE49-F238E27FC236}">
              <a16:creationId xmlns:a16="http://schemas.microsoft.com/office/drawing/2014/main" id="{4B679B8C-65D0-5199-DD60-502B89F65589}"/>
            </a:ext>
          </a:extLst>
        </xdr:cNvPr>
        <xdr:cNvSpPr txBox="1"/>
      </xdr:nvSpPr>
      <xdr:spPr>
        <a:xfrm>
          <a:off x="8098155"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max</a:t>
          </a:r>
          <a:r>
            <a:rPr lang="en-US" sz="1400" b="1" baseline="0">
              <a:solidFill>
                <a:schemeClr val="tx1"/>
              </a:solidFill>
            </a:rPr>
            <a:t> amount</a:t>
          </a:r>
          <a:endParaRPr lang="en-US" sz="1400" b="1">
            <a:solidFill>
              <a:schemeClr val="tx1"/>
            </a:solidFill>
          </a:endParaRPr>
        </a:p>
      </xdr:txBody>
    </xdr:sp>
    <xdr:clientData/>
  </xdr:twoCellAnchor>
  <xdr:twoCellAnchor>
    <xdr:from>
      <xdr:col>13</xdr:col>
      <xdr:colOff>165735</xdr:colOff>
      <xdr:row>15</xdr:row>
      <xdr:rowOff>167640</xdr:rowOff>
    </xdr:from>
    <xdr:to>
      <xdr:col>15</xdr:col>
      <xdr:colOff>150495</xdr:colOff>
      <xdr:row>17</xdr:row>
      <xdr:rowOff>45720</xdr:rowOff>
    </xdr:to>
    <xdr:sp macro="" textlink="'pivot table sales'!L58">
      <xdr:nvSpPr>
        <xdr:cNvPr id="34" name="TextBox 33">
          <a:extLst>
            <a:ext uri="{FF2B5EF4-FFF2-40B4-BE49-F238E27FC236}">
              <a16:creationId xmlns:a16="http://schemas.microsoft.com/office/drawing/2014/main" id="{2794FCA8-205A-5272-DC3B-DE4ACDF9085E}"/>
            </a:ext>
          </a:extLst>
        </xdr:cNvPr>
        <xdr:cNvSpPr txBox="1"/>
      </xdr:nvSpPr>
      <xdr:spPr>
        <a:xfrm>
          <a:off x="8090535"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1D7F6C5-C8E1-4D43-A1CB-57DBA7E894CD}" type="TxLink">
            <a:rPr lang="en-US" sz="2000" b="1" i="0" u="none" strike="noStrike">
              <a:solidFill>
                <a:srgbClr val="000000"/>
              </a:solidFill>
              <a:latin typeface="Aptos Narrow"/>
            </a:rPr>
            <a:pPr/>
            <a:t>1140</a:t>
          </a:fld>
          <a:endParaRPr lang="en-US" sz="2000" b="1">
            <a:solidFill>
              <a:schemeClr val="tx1">
                <a:lumMod val="50000"/>
                <a:lumOff val="50000"/>
              </a:schemeClr>
            </a:solidFill>
          </a:endParaRPr>
        </a:p>
      </xdr:txBody>
    </xdr:sp>
    <xdr:clientData/>
  </xdr:twoCellAnchor>
  <xdr:twoCellAnchor>
    <xdr:from>
      <xdr:col>15</xdr:col>
      <xdr:colOff>304800</xdr:colOff>
      <xdr:row>14</xdr:row>
      <xdr:rowOff>0</xdr:rowOff>
    </xdr:from>
    <xdr:to>
      <xdr:col>18</xdr:col>
      <xdr:colOff>342900</xdr:colOff>
      <xdr:row>17</xdr:row>
      <xdr:rowOff>175260</xdr:rowOff>
    </xdr:to>
    <xdr:sp macro="" textlink="">
      <xdr:nvSpPr>
        <xdr:cNvPr id="36" name="Rectangle 35">
          <a:extLst>
            <a:ext uri="{FF2B5EF4-FFF2-40B4-BE49-F238E27FC236}">
              <a16:creationId xmlns:a16="http://schemas.microsoft.com/office/drawing/2014/main" id="{1A80F93A-6825-0048-D470-38BC89D49B87}"/>
            </a:ext>
          </a:extLst>
        </xdr:cNvPr>
        <xdr:cNvSpPr/>
      </xdr:nvSpPr>
      <xdr:spPr>
        <a:xfrm>
          <a:off x="9448800" y="2560320"/>
          <a:ext cx="1866900" cy="723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6</xdr:col>
      <xdr:colOff>121920</xdr:colOff>
      <xdr:row>14</xdr:row>
      <xdr:rowOff>144780</xdr:rowOff>
    </xdr:from>
    <xdr:to>
      <xdr:col>6</xdr:col>
      <xdr:colOff>579120</xdr:colOff>
      <xdr:row>17</xdr:row>
      <xdr:rowOff>53340</xdr:rowOff>
    </xdr:to>
    <xdr:pic>
      <xdr:nvPicPr>
        <xdr:cNvPr id="42" name="Graphic 41" descr="Coins with solid fill">
          <a:extLst>
            <a:ext uri="{FF2B5EF4-FFF2-40B4-BE49-F238E27FC236}">
              <a16:creationId xmlns:a16="http://schemas.microsoft.com/office/drawing/2014/main" id="{574767F3-B2EC-F447-332E-3CF0BD96106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9520" y="2705100"/>
          <a:ext cx="457200" cy="457200"/>
        </a:xfrm>
        <a:prstGeom prst="rect">
          <a:avLst/>
        </a:prstGeom>
      </xdr:spPr>
    </xdr:pic>
    <xdr:clientData/>
  </xdr:twoCellAnchor>
  <xdr:twoCellAnchor>
    <xdr:from>
      <xdr:col>16</xdr:col>
      <xdr:colOff>274320</xdr:colOff>
      <xdr:row>14</xdr:row>
      <xdr:rowOff>68580</xdr:rowOff>
    </xdr:from>
    <xdr:to>
      <xdr:col>18</xdr:col>
      <xdr:colOff>259080</xdr:colOff>
      <xdr:row>15</xdr:row>
      <xdr:rowOff>129540</xdr:rowOff>
    </xdr:to>
    <xdr:sp macro="" textlink="">
      <xdr:nvSpPr>
        <xdr:cNvPr id="38" name="TextBox 37">
          <a:extLst>
            <a:ext uri="{FF2B5EF4-FFF2-40B4-BE49-F238E27FC236}">
              <a16:creationId xmlns:a16="http://schemas.microsoft.com/office/drawing/2014/main" id="{92F2CED8-9008-76B1-DBD1-2AA6503E6620}"/>
            </a:ext>
          </a:extLst>
        </xdr:cNvPr>
        <xdr:cNvSpPr txBox="1"/>
      </xdr:nvSpPr>
      <xdr:spPr>
        <a:xfrm>
          <a:off x="10027920" y="262890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1"/>
              </a:solidFill>
            </a:rPr>
            <a:t>min amount</a:t>
          </a:r>
        </a:p>
      </xdr:txBody>
    </xdr:sp>
    <xdr:clientData/>
  </xdr:twoCellAnchor>
  <xdr:twoCellAnchor>
    <xdr:from>
      <xdr:col>16</xdr:col>
      <xdr:colOff>266700</xdr:colOff>
      <xdr:row>15</xdr:row>
      <xdr:rowOff>167640</xdr:rowOff>
    </xdr:from>
    <xdr:to>
      <xdr:col>18</xdr:col>
      <xdr:colOff>251460</xdr:colOff>
      <xdr:row>17</xdr:row>
      <xdr:rowOff>45720</xdr:rowOff>
    </xdr:to>
    <xdr:sp macro="" textlink="'pivot table sales'!O58">
      <xdr:nvSpPr>
        <xdr:cNvPr id="39" name="TextBox 38">
          <a:extLst>
            <a:ext uri="{FF2B5EF4-FFF2-40B4-BE49-F238E27FC236}">
              <a16:creationId xmlns:a16="http://schemas.microsoft.com/office/drawing/2014/main" id="{596512FE-BE77-ABC0-5DAB-CB98FD1C3883}"/>
            </a:ext>
          </a:extLst>
        </xdr:cNvPr>
        <xdr:cNvSpPr txBox="1"/>
      </xdr:nvSpPr>
      <xdr:spPr>
        <a:xfrm>
          <a:off x="10020300" y="2910840"/>
          <a:ext cx="1203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1B7C0D-CD6D-4BF8-9D45-33709A0F4171}" type="TxLink">
            <a:rPr lang="en-US" sz="2000" b="1" i="0" u="none" strike="noStrike">
              <a:solidFill>
                <a:srgbClr val="000000"/>
              </a:solidFill>
              <a:latin typeface="Aptos Narrow"/>
            </a:rPr>
            <a:pPr/>
            <a:t>190</a:t>
          </a:fld>
          <a:endParaRPr lang="en-US" sz="2000" b="1">
            <a:solidFill>
              <a:schemeClr val="tx1">
                <a:lumMod val="50000"/>
                <a:lumOff val="50000"/>
              </a:schemeClr>
            </a:solidFill>
          </a:endParaRPr>
        </a:p>
      </xdr:txBody>
    </xdr:sp>
    <xdr:clientData/>
  </xdr:twoCellAnchor>
  <xdr:twoCellAnchor editAs="oneCell">
    <xdr:from>
      <xdr:col>9</xdr:col>
      <xdr:colOff>190500</xdr:colOff>
      <xdr:row>14</xdr:row>
      <xdr:rowOff>160020</xdr:rowOff>
    </xdr:from>
    <xdr:to>
      <xdr:col>10</xdr:col>
      <xdr:colOff>38100</xdr:colOff>
      <xdr:row>17</xdr:row>
      <xdr:rowOff>68580</xdr:rowOff>
    </xdr:to>
    <xdr:pic>
      <xdr:nvPicPr>
        <xdr:cNvPr id="44" name="Graphic 43" descr="Medical with solid fill">
          <a:extLst>
            <a:ext uri="{FF2B5EF4-FFF2-40B4-BE49-F238E27FC236}">
              <a16:creationId xmlns:a16="http://schemas.microsoft.com/office/drawing/2014/main" id="{9505683F-1B86-B2AD-A046-8FDC6C99232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76900" y="2720340"/>
          <a:ext cx="457200" cy="457200"/>
        </a:xfrm>
        <a:prstGeom prst="rect">
          <a:avLst/>
        </a:prstGeom>
      </xdr:spPr>
    </xdr:pic>
    <xdr:clientData/>
  </xdr:twoCellAnchor>
  <xdr:twoCellAnchor editAs="oneCell">
    <xdr:from>
      <xdr:col>12</xdr:col>
      <xdr:colOff>335280</xdr:colOff>
      <xdr:row>14</xdr:row>
      <xdr:rowOff>160020</xdr:rowOff>
    </xdr:from>
    <xdr:to>
      <xdr:col>13</xdr:col>
      <xdr:colOff>182880</xdr:colOff>
      <xdr:row>17</xdr:row>
      <xdr:rowOff>68580</xdr:rowOff>
    </xdr:to>
    <xdr:pic>
      <xdr:nvPicPr>
        <xdr:cNvPr id="46" name="Graphic 45" descr="Bar graph with upward trend with solid fill">
          <a:extLst>
            <a:ext uri="{FF2B5EF4-FFF2-40B4-BE49-F238E27FC236}">
              <a16:creationId xmlns:a16="http://schemas.microsoft.com/office/drawing/2014/main" id="{30F04117-9139-EE05-69F0-BC5D1762D5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50480" y="2720340"/>
          <a:ext cx="457200" cy="457200"/>
        </a:xfrm>
        <a:prstGeom prst="rect">
          <a:avLst/>
        </a:prstGeom>
      </xdr:spPr>
    </xdr:pic>
    <xdr:clientData/>
  </xdr:twoCellAnchor>
  <xdr:twoCellAnchor editAs="oneCell">
    <xdr:from>
      <xdr:col>15</xdr:col>
      <xdr:colOff>457200</xdr:colOff>
      <xdr:row>14</xdr:row>
      <xdr:rowOff>144780</xdr:rowOff>
    </xdr:from>
    <xdr:to>
      <xdr:col>16</xdr:col>
      <xdr:colOff>304800</xdr:colOff>
      <xdr:row>17</xdr:row>
      <xdr:rowOff>53340</xdr:rowOff>
    </xdr:to>
    <xdr:pic>
      <xdr:nvPicPr>
        <xdr:cNvPr id="48" name="Graphic 47" descr="Bar graph with downward trend with solid fill">
          <a:extLst>
            <a:ext uri="{FF2B5EF4-FFF2-40B4-BE49-F238E27FC236}">
              <a16:creationId xmlns:a16="http://schemas.microsoft.com/office/drawing/2014/main" id="{D59655B7-86EC-A6DD-0185-12D406A5822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01200" y="2705100"/>
          <a:ext cx="457200" cy="457200"/>
        </a:xfrm>
        <a:prstGeom prst="rect">
          <a:avLst/>
        </a:prstGeom>
      </xdr:spPr>
    </xdr:pic>
    <xdr:clientData/>
  </xdr:twoCellAnchor>
  <xdr:twoCellAnchor>
    <xdr:from>
      <xdr:col>2</xdr:col>
      <xdr:colOff>510540</xdr:colOff>
      <xdr:row>18</xdr:row>
      <xdr:rowOff>99060</xdr:rowOff>
    </xdr:from>
    <xdr:to>
      <xdr:col>10</xdr:col>
      <xdr:colOff>396240</xdr:colOff>
      <xdr:row>30</xdr:row>
      <xdr:rowOff>60960</xdr:rowOff>
    </xdr:to>
    <xdr:graphicFrame macro="">
      <xdr:nvGraphicFramePr>
        <xdr:cNvPr id="50" name="Chart 49">
          <a:extLst>
            <a:ext uri="{FF2B5EF4-FFF2-40B4-BE49-F238E27FC236}">
              <a16:creationId xmlns:a16="http://schemas.microsoft.com/office/drawing/2014/main" id="{10D3BA6E-E828-47D2-9749-7F78988E8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502920</xdr:colOff>
      <xdr:row>18</xdr:row>
      <xdr:rowOff>106680</xdr:rowOff>
    </xdr:from>
    <xdr:to>
      <xdr:col>18</xdr:col>
      <xdr:colOff>335280</xdr:colOff>
      <xdr:row>30</xdr:row>
      <xdr:rowOff>38100</xdr:rowOff>
    </xdr:to>
    <xdr:graphicFrame macro="">
      <xdr:nvGraphicFramePr>
        <xdr:cNvPr id="51" name="Chart 50">
          <a:extLst>
            <a:ext uri="{FF2B5EF4-FFF2-40B4-BE49-F238E27FC236}">
              <a16:creationId xmlns:a16="http://schemas.microsoft.com/office/drawing/2014/main" id="{CC1C4FD6-0E0F-4D54-849D-1821C2B33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220980</xdr:colOff>
      <xdr:row>8</xdr:row>
      <xdr:rowOff>53340</xdr:rowOff>
    </xdr:from>
    <xdr:to>
      <xdr:col>2</xdr:col>
      <xdr:colOff>15240</xdr:colOff>
      <xdr:row>10</xdr:row>
      <xdr:rowOff>15240</xdr:rowOff>
    </xdr:to>
    <xdr:sp macro="" textlink="">
      <xdr:nvSpPr>
        <xdr:cNvPr id="5" name="TextBox 4">
          <a:hlinkClick xmlns:r="http://schemas.openxmlformats.org/officeDocument/2006/relationships" r:id="rId13"/>
          <a:extLst>
            <a:ext uri="{FF2B5EF4-FFF2-40B4-BE49-F238E27FC236}">
              <a16:creationId xmlns:a16="http://schemas.microsoft.com/office/drawing/2014/main" id="{727ED372-B91B-108C-5E33-BD381A1CDFB2}"/>
            </a:ext>
          </a:extLst>
        </xdr:cNvPr>
        <xdr:cNvSpPr txBox="1"/>
      </xdr:nvSpPr>
      <xdr:spPr>
        <a:xfrm>
          <a:off x="220980" y="151638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dashboard</a:t>
          </a:r>
        </a:p>
      </xdr:txBody>
    </xdr:sp>
    <xdr:clientData/>
  </xdr:twoCellAnchor>
  <xdr:twoCellAnchor>
    <xdr:from>
      <xdr:col>0</xdr:col>
      <xdr:colOff>220980</xdr:colOff>
      <xdr:row>11</xdr:row>
      <xdr:rowOff>160020</xdr:rowOff>
    </xdr:from>
    <xdr:to>
      <xdr:col>2</xdr:col>
      <xdr:colOff>15240</xdr:colOff>
      <xdr:row>13</xdr:row>
      <xdr:rowOff>121920</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98F94FDA-8603-04AD-9F14-EB2B6166B037}"/>
            </a:ext>
          </a:extLst>
        </xdr:cNvPr>
        <xdr:cNvSpPr txBox="1"/>
      </xdr:nvSpPr>
      <xdr:spPr>
        <a:xfrm>
          <a:off x="220980" y="217170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products</a:t>
          </a:r>
        </a:p>
      </xdr:txBody>
    </xdr:sp>
    <xdr:clientData/>
  </xdr:twoCellAnchor>
  <xdr:twoCellAnchor>
    <xdr:from>
      <xdr:col>0</xdr:col>
      <xdr:colOff>220980</xdr:colOff>
      <xdr:row>15</xdr:row>
      <xdr:rowOff>83820</xdr:rowOff>
    </xdr:from>
    <xdr:to>
      <xdr:col>2</xdr:col>
      <xdr:colOff>15240</xdr:colOff>
      <xdr:row>17</xdr:row>
      <xdr:rowOff>45720</xdr:rowOff>
    </xdr:to>
    <xdr:sp macro="" textlink="">
      <xdr:nvSpPr>
        <xdr:cNvPr id="20" name="TextBox 19">
          <a:hlinkClick xmlns:r="http://schemas.openxmlformats.org/officeDocument/2006/relationships" r:id="rId15"/>
          <a:extLst>
            <a:ext uri="{FF2B5EF4-FFF2-40B4-BE49-F238E27FC236}">
              <a16:creationId xmlns:a16="http://schemas.microsoft.com/office/drawing/2014/main" id="{F6C9D567-F53A-72D5-E9AA-0FD41E41B73C}"/>
            </a:ext>
          </a:extLst>
        </xdr:cNvPr>
        <xdr:cNvSpPr txBox="1"/>
      </xdr:nvSpPr>
      <xdr:spPr>
        <a:xfrm>
          <a:off x="220980" y="2827020"/>
          <a:ext cx="10134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sales</a:t>
          </a:r>
          <a:r>
            <a:rPr lang="en-US" sz="1200" b="1" baseline="0"/>
            <a:t> man</a:t>
          </a:r>
          <a:endParaRPr lang="en-US" sz="12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259080</xdr:colOff>
      <xdr:row>26</xdr:row>
      <xdr:rowOff>137160</xdr:rowOff>
    </xdr:from>
    <xdr:to>
      <xdr:col>19</xdr:col>
      <xdr:colOff>213360</xdr:colOff>
      <xdr:row>41</xdr:row>
      <xdr:rowOff>137160</xdr:rowOff>
    </xdr:to>
    <xdr:graphicFrame macro="">
      <xdr:nvGraphicFramePr>
        <xdr:cNvPr id="3" name="Chart 2">
          <a:extLst>
            <a:ext uri="{FF2B5EF4-FFF2-40B4-BE49-F238E27FC236}">
              <a16:creationId xmlns:a16="http://schemas.microsoft.com/office/drawing/2014/main" id="{F6F1F780-B5A5-93DA-8A5E-47A67AC96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6</xdr:row>
      <xdr:rowOff>167640</xdr:rowOff>
    </xdr:from>
    <xdr:to>
      <xdr:col>16</xdr:col>
      <xdr:colOff>411480</xdr:colOff>
      <xdr:row>21</xdr:row>
      <xdr:rowOff>167640</xdr:rowOff>
    </xdr:to>
    <xdr:graphicFrame macro="">
      <xdr:nvGraphicFramePr>
        <xdr:cNvPr id="4" name="Chart 3">
          <a:extLst>
            <a:ext uri="{FF2B5EF4-FFF2-40B4-BE49-F238E27FC236}">
              <a16:creationId xmlns:a16="http://schemas.microsoft.com/office/drawing/2014/main" id="{C3FE49B9-AC31-404B-3CB1-2A0DD38BE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716280</xdr:colOff>
      <xdr:row>23</xdr:row>
      <xdr:rowOff>152400</xdr:rowOff>
    </xdr:from>
    <xdr:to>
      <xdr:col>9</xdr:col>
      <xdr:colOff>502920</xdr:colOff>
      <xdr:row>38</xdr:row>
      <xdr:rowOff>152400</xdr:rowOff>
    </xdr:to>
    <xdr:graphicFrame macro="">
      <xdr:nvGraphicFramePr>
        <xdr:cNvPr id="5" name="Chart 4">
          <a:extLst>
            <a:ext uri="{FF2B5EF4-FFF2-40B4-BE49-F238E27FC236}">
              <a16:creationId xmlns:a16="http://schemas.microsoft.com/office/drawing/2014/main" id="{4A01F45C-5B6A-0BFF-CECF-1621706C1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302.779738657409" backgroundQuery="1" createdVersion="8" refreshedVersion="8" minRefreshableVersion="3" recordCount="0" supportSubquery="1" supportAdvancedDrill="1" xr:uid="{A92920C6-CE68-4E81-89F9-7ED7CE12EFFE}">
  <cacheSource type="external" connectionId="1"/>
  <cacheFields count="3">
    <cacheField name="[traders].[name].[name]" caption="name" numFmtId="0" hierarchy="12" level="1">
      <sharedItems count="4">
        <s v="abod"/>
        <s v="asmaa"/>
        <s v="hajar"/>
        <s v="houda"/>
      </sharedItems>
    </cacheField>
    <cacheField name="[Measures].[Sum of profit]" caption="Sum of profit" numFmtId="0" hierarchy="17" level="32767"/>
    <cacheField name="[Measures].[Count of tradeid]" caption="Count of tradeid" numFmtId="0" hierarchy="23" level="32767"/>
  </cacheFields>
  <cacheHierarchies count="30">
    <cacheHierarchy uniqueName="[client].[clientid]" caption="clientid" attribute="1" defaultMemberUniqueName="[client].[clientid].[All]" allUniqueName="[client].[clientid].[All]" dimensionUniqueName="[client]" displayFolder="" count="0" memberValueDatatype="20" unbalanced="0"/>
    <cacheHierarchy uniqueName="[client].[name]" caption="name" attribute="1" defaultMemberUniqueName="[client].[name].[All]" allUniqueName="[client].[name].[All]" dimensionUniqueName="[client]" displayFolder="" count="0" memberValueDatatype="130" unbalanced="0"/>
    <cacheHierarchy uniqueName="[client].[lastname]" caption="lastname" attribute="1" defaultMemberUniqueName="[client].[lastname].[All]" allUniqueName="[client].[lastname].[All]" dimensionUniqueName="[client]" displayFolder="" count="0" memberValueDatatype="130" unbalanced="0"/>
    <cacheHierarchy uniqueName="[client].[country]" caption="country" attribute="1" defaultMemberUniqueName="[client].[country].[All]" allUniqueName="[client].[country].[All]" dimensionUniqueName="[client]" displayFolder="" count="0" memberValueDatatype="130" unbalanced="0"/>
    <cacheHierarchy uniqueName="[invoice].[date]" caption="date" attribute="1" time="1" defaultMemberUniqueName="[invoice].[date].[All]" allUniqueName="[invoice].[date].[All]" dimensionUniqueName="[invoice]" displayFolder="" count="0" memberValueDatatype="7" unbalanced="0"/>
    <cacheHierarchy uniqueName="[invoice].[clientid]" caption="clientid" attribute="1" defaultMemberUniqueName="[invoice].[clientid].[All]" allUniqueName="[invoice].[clientid].[All]" dimensionUniqueName="[invoice]" displayFolder="" count="0" memberValueDatatype="20" unbalanced="0"/>
    <cacheHierarchy uniqueName="[invoice].[productname]" caption="productname" attribute="1" defaultMemberUniqueName="[invoice].[productname].[All]" allUniqueName="[invoice].[productname].[All]" dimensionUniqueName="[invoice]" displayFolder="" count="0" memberValueDatatype="130" unbalanced="0"/>
    <cacheHierarchy uniqueName="[productname].[productname]" caption="productname" attribute="1" defaultMemberUniqueName="[productname].[productname].[All]" allUniqueName="[productname].[productname].[All]" dimensionUniqueName="[productname]" displayFolder="" count="0" memberValueDatatype="130" unbalanced="0"/>
    <cacheHierarchy uniqueName="[productname].[price]" caption="price" attribute="1" defaultMemberUniqueName="[productname].[price].[All]" allUniqueName="[productname].[price].[All]" dimensionUniqueName="[productname]" displayFolder="" count="0" memberValueDatatype="20" unbalanced="0"/>
    <cacheHierarchy uniqueName="[productname].[qte]" caption="qte" attribute="1" defaultMemberUniqueName="[productname].[qte].[All]" allUniqueName="[productname].[qte].[All]" dimensionUniqueName="[productname]" displayFolder="" count="0" memberValueDatatype="20" unbalanced="0"/>
    <cacheHierarchy uniqueName="[productname].[count sales]" caption="count sales" attribute="1" defaultMemberUniqueName="[productname].[count sales].[All]" allUniqueName="[productname].[count sales].[All]" dimensionUniqueName="[productname]" displayFolder="" count="0" memberValueDatatype="20" unbalanced="0"/>
    <cacheHierarchy uniqueName="[traders].[tradeid]" caption="tradeid" attribute="1" defaultMemberUniqueName="[traders].[tradeid].[All]" allUniqueName="[traders].[tradeid].[All]" dimensionUniqueName="[traders]" displayFolder="" count="0" memberValueDatatype="20" unbalanced="0"/>
    <cacheHierarchy uniqueName="[traders].[name]" caption="name" attribute="1" defaultMemberUniqueName="[traders].[name].[All]" allUniqueName="[traders].[name].[All]" dimensionUniqueName="[traders]" displayFolder="" count="2" memberValueDatatype="130" unbalanced="0">
      <fieldsUsage count="2">
        <fieldUsage x="-1"/>
        <fieldUsage x="0"/>
      </fieldsUsage>
    </cacheHierarchy>
    <cacheHierarchy uniqueName="[traders].[lastname]" caption="lastname" attribute="1" defaultMemberUniqueName="[traders].[lastname].[All]" allUniqueName="[traders].[lastname].[All]" dimensionUniqueName="[traders]" displayFolder="" count="0" memberValueDatatype="130" unbalanced="0"/>
    <cacheHierarchy uniqueName="[trades].[tradeid]" caption="tradeid" attribute="1" defaultMemberUniqueName="[trades].[tradeid].[All]" allUniqueName="[trades].[tradeid].[All]" dimensionUniqueName="[trades]" displayFolder="" count="0" memberValueDatatype="20" unbalanced="0"/>
    <cacheHierarchy uniqueName="[trades].[pair]" caption="pair" attribute="1" defaultMemberUniqueName="[trades].[pair].[All]" allUniqueName="[trades].[pair].[All]" dimensionUniqueName="[trades]" displayFolder="" count="0" memberValueDatatype="130" unbalanced="0"/>
    <cacheHierarchy uniqueName="[trades].[profit]" caption="profit" attribute="1" defaultMemberUniqueName="[trades].[profit].[All]" allUniqueName="[trades].[profit].[All]" dimensionUniqueName="[trades]" displayFolder="" count="0" memberValueDatatype="20" unbalanced="0"/>
    <cacheHierarchy uniqueName="[Measures].[Sum of profit]" caption="Sum of profit" measure="1" displayFolder="" measureGroup="trades" count="0" oneField="1">
      <fieldsUsage count="1">
        <fieldUsage x="1"/>
      </fieldsUsage>
      <extLst>
        <ext xmlns:x15="http://schemas.microsoft.com/office/spreadsheetml/2010/11/main" uri="{B97F6D7D-B522-45F9-BDA1-12C45D357490}">
          <x15:cacheHierarchy aggregatedColumn="16"/>
        </ext>
      </extLst>
    </cacheHierarchy>
    <cacheHierarchy uniqueName="[Measures].[Count of lastname]" caption="Count of lastname" measure="1" displayFolder="" measureGroup="traders" count="0">
      <extLst>
        <ext xmlns:x15="http://schemas.microsoft.com/office/spreadsheetml/2010/11/main" uri="{B97F6D7D-B522-45F9-BDA1-12C45D357490}">
          <x15:cacheHierarchy aggregatedColumn="13"/>
        </ext>
      </extLst>
    </cacheHierarchy>
    <cacheHierarchy uniqueName="[Measures].[Sum of tradeid]" caption="Sum of tradeid" measure="1" displayFolder="" measureGroup="traders" count="0">
      <extLst>
        <ext xmlns:x15="http://schemas.microsoft.com/office/spreadsheetml/2010/11/main" uri="{B97F6D7D-B522-45F9-BDA1-12C45D357490}">
          <x15:cacheHierarchy aggregatedColumn="11"/>
        </ext>
      </extLst>
    </cacheHierarchy>
    <cacheHierarchy uniqueName="[Measures].[Count of pair]" caption="Count of pair" measure="1" displayFolder="" measureGroup="trades" count="0">
      <extLst>
        <ext xmlns:x15="http://schemas.microsoft.com/office/spreadsheetml/2010/11/main" uri="{B97F6D7D-B522-45F9-BDA1-12C45D357490}">
          <x15:cacheHierarchy aggregatedColumn="15"/>
        </ext>
      </extLst>
    </cacheHierarchy>
    <cacheHierarchy uniqueName="[Measures].[Sum of tradeid 2]" caption="Sum of tradeid 2" measure="1" displayFolder="" measureGroup="trades" count="0">
      <extLst>
        <ext xmlns:x15="http://schemas.microsoft.com/office/spreadsheetml/2010/11/main" uri="{B97F6D7D-B522-45F9-BDA1-12C45D357490}">
          <x15:cacheHierarchy aggregatedColumn="14"/>
        </ext>
      </extLst>
    </cacheHierarchy>
    <cacheHierarchy uniqueName="[Measures].[StdDev of tradeid]" caption="StdDev of tradeid" measure="1" displayFolder="" measureGroup="trades" count="0">
      <extLst>
        <ext xmlns:x15="http://schemas.microsoft.com/office/spreadsheetml/2010/11/main" uri="{B97F6D7D-B522-45F9-BDA1-12C45D357490}">
          <x15:cacheHierarchy aggregatedColumn="14"/>
        </ext>
      </extLst>
    </cacheHierarchy>
    <cacheHierarchy uniqueName="[Measures].[Count of tradeid]" caption="Count of tradeid" measure="1" displayFolder="" measureGroup="trades" count="0" oneField="1">
      <fieldsUsage count="1">
        <fieldUsage x="2"/>
      </fieldsUsage>
      <extLst>
        <ext xmlns:x15="http://schemas.microsoft.com/office/spreadsheetml/2010/11/main" uri="{B97F6D7D-B522-45F9-BDA1-12C45D357490}">
          <x15:cacheHierarchy aggregatedColumn="14"/>
        </ext>
      </extLst>
    </cacheHierarchy>
    <cacheHierarchy uniqueName="[Measures].[__XL_Count traders]" caption="__XL_Count traders" measure="1" displayFolder="" measureGroup="traders" count="0" hidden="1"/>
    <cacheHierarchy uniqueName="[Measures].[__XL_Count trades]" caption="__XL_Count trades" measure="1" displayFolder="" measureGroup="trades" count="0" hidden="1"/>
    <cacheHierarchy uniqueName="[Measures].[__XL_Count client]" caption="__XL_Count client" measure="1" displayFolder="" measureGroup="client" count="0" hidden="1"/>
    <cacheHierarchy uniqueName="[Measures].[__XL_Count productname]" caption="__XL_Count productname" measure="1" displayFolder="" measureGroup="productname" count="0" hidden="1"/>
    <cacheHierarchy uniqueName="[Measures].[__XL_Count invoice]" caption="__XL_Count invoice" measure="1" displayFolder="" measureGroup="invoice" count="0" hidden="1"/>
    <cacheHierarchy uniqueName="[Measures].[__No measures defined]" caption="__No measures defined" measure="1" displayFolder="" count="0" hidden="1"/>
  </cacheHierarchies>
  <kpis count="0"/>
  <dimensions count="6">
    <dimension name="client" uniqueName="[client]" caption="client"/>
    <dimension name="invoice" uniqueName="[invoice]" caption="invoice"/>
    <dimension measure="1" name="Measures" uniqueName="[Measures]" caption="Measures"/>
    <dimension name="productname" uniqueName="[productname]" caption="productname"/>
    <dimension name="traders" uniqueName="[traders]" caption="traders"/>
    <dimension name="trades" uniqueName="[trades]" caption="trades"/>
  </dimensions>
  <measureGroups count="5">
    <measureGroup name="client" caption="client"/>
    <measureGroup name="invoice" caption="invoice"/>
    <measureGroup name="productname" caption="productname"/>
    <measureGroup name="traders" caption="traders"/>
    <measureGroup name="trades" caption="trades"/>
  </measureGroups>
  <maps count="8">
    <map measureGroup="0" dimension="0"/>
    <map measureGroup="1" dimension="0"/>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refreshedDate="46302.779744212959" createdVersion="8" refreshedVersion="8" minRefreshableVersion="3" recordCount="41" xr:uid="{D641DFE7-4C15-4723-BED5-80B09CEFB3D8}">
  <cacheSource type="worksheet">
    <worksheetSource name="dataraw"/>
  </cacheSource>
  <cacheFields count="10">
    <cacheField name="S No" numFmtId="0">
      <sharedItems containsSemiMixedTypes="0" containsString="0" containsNumber="1" containsInteger="1" minValue="1" maxValue="41"/>
    </cacheField>
    <cacheField name="Date" numFmtId="14">
      <sharedItems containsSemiMixedTypes="0" containsNonDate="0" containsDate="1" containsString="0" minDate="2023-01-01T00:00:00" maxDate="2023-03-20T00:00:00" count="4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3-19T00:00:00"/>
      </sharedItems>
      <fieldGroup par="9"/>
    </cacheField>
    <cacheField name="Salesman" numFmtId="0">
      <sharedItems count="7">
        <s v="Ahmed Said"/>
        <s v="Ali Ramadan"/>
        <s v="Ashraf Zaki"/>
        <s v="Fathy Ali"/>
        <s v="Tamer Mohamed"/>
        <s v="Khaled Hassan"/>
        <s v="hamid taha"/>
      </sharedItems>
    </cacheField>
    <cacheField name="Region" numFmtId="0">
      <sharedItems/>
    </cacheField>
    <cacheField name="Item" numFmtId="0">
      <sharedItems count="9">
        <s v="Mouse"/>
        <s v="Scanner"/>
        <s v="Printer"/>
        <s v="Laptop"/>
        <s v="Speaker"/>
        <s v="Monitor"/>
        <s v="Headset"/>
        <s v="Keyboard"/>
        <s v="gamer"/>
      </sharedItems>
    </cacheField>
    <cacheField name="Qty" numFmtId="0">
      <sharedItems containsSemiMixedTypes="0" containsString="0" containsNumber="1" containsInteger="1" minValue="1" maxValue="8"/>
    </cacheField>
    <cacheField name="Price" numFmtId="0">
      <sharedItems containsSemiMixedTypes="0" containsString="0" containsNumber="1" containsInteger="1" minValue="56" maxValue="8500"/>
    </cacheField>
    <cacheField name="Amount" numFmtId="0">
      <sharedItems containsSemiMixedTypes="0" containsString="0" containsNumber="1" containsInteger="1" minValue="168" maxValue="68000"/>
    </cacheField>
    <cacheField name="Days (Date)" numFmtId="0" databaseField="0">
      <fieldGroup base="1">
        <rangePr groupBy="days" startDate="2023-01-01T00:00:00" endDate="2023-03-20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20/2023"/>
        </groupItems>
      </fieldGroup>
    </cacheField>
    <cacheField name="Months (Date)" numFmtId="0" databaseField="0">
      <fieldGroup base="1">
        <rangePr groupBy="months" startDate="2023-01-01T00:00:00" endDate="2023-03-20T00:00:00"/>
        <groupItems count="14">
          <s v="&lt;1/1/2023"/>
          <s v="Jan"/>
          <s v="Feb"/>
          <s v="Mar"/>
          <s v="Apr"/>
          <s v="May"/>
          <s v="Jun"/>
          <s v="Jul"/>
          <s v="Aug"/>
          <s v="Sep"/>
          <s v="Oct"/>
          <s v="Nov"/>
          <s v="Dec"/>
          <s v="&gt;3/20/2023"/>
        </groupItems>
      </fieldGroup>
    </cacheField>
  </cacheFields>
  <extLst>
    <ext xmlns:x14="http://schemas.microsoft.com/office/spreadsheetml/2009/9/main" uri="{725AE2AE-9491-48be-B2B4-4EB974FC3084}">
      <x14:pivotCacheDefinition pivotCacheId="2123660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n v="1"/>
    <x v="0"/>
    <x v="0"/>
    <s v="Cairo"/>
    <x v="0"/>
    <n v="5"/>
    <n v="210"/>
    <n v="1050"/>
  </r>
  <r>
    <n v="2"/>
    <x v="1"/>
    <x v="1"/>
    <s v="Domietta"/>
    <x v="1"/>
    <n v="3"/>
    <n v="1500"/>
    <n v="4500"/>
  </r>
  <r>
    <n v="3"/>
    <x v="2"/>
    <x v="2"/>
    <s v="Cairo"/>
    <x v="2"/>
    <n v="7"/>
    <n v="2100"/>
    <n v="14700"/>
  </r>
  <r>
    <n v="4"/>
    <x v="3"/>
    <x v="3"/>
    <s v="Cairo"/>
    <x v="0"/>
    <n v="2"/>
    <n v="210"/>
    <n v="420"/>
  </r>
  <r>
    <n v="5"/>
    <x v="4"/>
    <x v="4"/>
    <s v="Domietta"/>
    <x v="1"/>
    <n v="1"/>
    <n v="1500"/>
    <n v="1500"/>
  </r>
  <r>
    <n v="6"/>
    <x v="5"/>
    <x v="5"/>
    <s v="Domietta"/>
    <x v="3"/>
    <n v="4"/>
    <n v="8500"/>
    <n v="34000"/>
  </r>
  <r>
    <n v="7"/>
    <x v="6"/>
    <x v="0"/>
    <s v="Giza"/>
    <x v="4"/>
    <n v="1"/>
    <n v="300"/>
    <n v="300"/>
  </r>
  <r>
    <n v="8"/>
    <x v="7"/>
    <x v="1"/>
    <s v="Domietta"/>
    <x v="3"/>
    <n v="6"/>
    <n v="8500"/>
    <n v="51000"/>
  </r>
  <r>
    <n v="9"/>
    <x v="8"/>
    <x v="2"/>
    <s v="Alexandria"/>
    <x v="5"/>
    <n v="4"/>
    <n v="1200"/>
    <n v="4800"/>
  </r>
  <r>
    <n v="10"/>
    <x v="9"/>
    <x v="3"/>
    <s v="Alexandria"/>
    <x v="2"/>
    <n v="2"/>
    <n v="2100"/>
    <n v="4200"/>
  </r>
  <r>
    <n v="11"/>
    <x v="10"/>
    <x v="4"/>
    <s v="Giza"/>
    <x v="2"/>
    <n v="6"/>
    <n v="2100"/>
    <n v="12600"/>
  </r>
  <r>
    <n v="12"/>
    <x v="11"/>
    <x v="5"/>
    <s v="Alexandria"/>
    <x v="4"/>
    <n v="1"/>
    <n v="300"/>
    <n v="300"/>
  </r>
  <r>
    <n v="13"/>
    <x v="12"/>
    <x v="0"/>
    <s v="Giza"/>
    <x v="2"/>
    <n v="7"/>
    <n v="2100"/>
    <n v="14700"/>
  </r>
  <r>
    <n v="14"/>
    <x v="13"/>
    <x v="1"/>
    <s v="Cairo"/>
    <x v="4"/>
    <n v="6"/>
    <n v="300"/>
    <n v="1800"/>
  </r>
  <r>
    <n v="15"/>
    <x v="14"/>
    <x v="2"/>
    <s v="Domietta"/>
    <x v="2"/>
    <n v="1"/>
    <n v="2100"/>
    <n v="2100"/>
  </r>
  <r>
    <n v="16"/>
    <x v="15"/>
    <x v="3"/>
    <s v="Domietta"/>
    <x v="4"/>
    <n v="2"/>
    <n v="300"/>
    <n v="600"/>
  </r>
  <r>
    <n v="17"/>
    <x v="16"/>
    <x v="4"/>
    <s v="Domietta"/>
    <x v="2"/>
    <n v="7"/>
    <n v="2100"/>
    <n v="14700"/>
  </r>
  <r>
    <n v="18"/>
    <x v="17"/>
    <x v="5"/>
    <s v="Alexandria"/>
    <x v="6"/>
    <n v="6"/>
    <n v="450"/>
    <n v="2700"/>
  </r>
  <r>
    <n v="19"/>
    <x v="18"/>
    <x v="0"/>
    <s v="Domietta"/>
    <x v="7"/>
    <n v="6"/>
    <n v="190"/>
    <n v="1140"/>
  </r>
  <r>
    <n v="20"/>
    <x v="19"/>
    <x v="1"/>
    <s v="Domietta"/>
    <x v="4"/>
    <n v="2"/>
    <n v="300"/>
    <n v="600"/>
  </r>
  <r>
    <n v="21"/>
    <x v="20"/>
    <x v="2"/>
    <s v="Domietta"/>
    <x v="1"/>
    <n v="3"/>
    <n v="1500"/>
    <n v="4500"/>
  </r>
  <r>
    <n v="22"/>
    <x v="21"/>
    <x v="3"/>
    <s v="Giza"/>
    <x v="3"/>
    <n v="5"/>
    <n v="8500"/>
    <n v="42500"/>
  </r>
  <r>
    <n v="23"/>
    <x v="22"/>
    <x v="4"/>
    <s v="Domietta"/>
    <x v="7"/>
    <n v="1"/>
    <n v="190"/>
    <n v="190"/>
  </r>
  <r>
    <n v="24"/>
    <x v="23"/>
    <x v="5"/>
    <s v="Domietta"/>
    <x v="0"/>
    <n v="6"/>
    <n v="210"/>
    <n v="1260"/>
  </r>
  <r>
    <n v="25"/>
    <x v="24"/>
    <x v="0"/>
    <s v="Giza"/>
    <x v="4"/>
    <n v="2"/>
    <n v="300"/>
    <n v="600"/>
  </r>
  <r>
    <n v="26"/>
    <x v="25"/>
    <x v="1"/>
    <s v="Domietta"/>
    <x v="7"/>
    <n v="4"/>
    <n v="190"/>
    <n v="760"/>
  </r>
  <r>
    <n v="27"/>
    <x v="26"/>
    <x v="2"/>
    <s v="Giza"/>
    <x v="3"/>
    <n v="8"/>
    <n v="8500"/>
    <n v="68000"/>
  </r>
  <r>
    <n v="28"/>
    <x v="27"/>
    <x v="3"/>
    <s v="Domietta"/>
    <x v="4"/>
    <n v="3"/>
    <n v="300"/>
    <n v="900"/>
  </r>
  <r>
    <n v="29"/>
    <x v="28"/>
    <x v="4"/>
    <s v="Domietta"/>
    <x v="4"/>
    <n v="7"/>
    <n v="300"/>
    <n v="2100"/>
  </r>
  <r>
    <n v="30"/>
    <x v="29"/>
    <x v="5"/>
    <s v="Giza"/>
    <x v="7"/>
    <n v="4"/>
    <n v="190"/>
    <n v="760"/>
  </r>
  <r>
    <n v="31"/>
    <x v="30"/>
    <x v="0"/>
    <s v="Domietta"/>
    <x v="6"/>
    <n v="2"/>
    <n v="450"/>
    <n v="900"/>
  </r>
  <r>
    <n v="32"/>
    <x v="31"/>
    <x v="1"/>
    <s v="Cairo"/>
    <x v="2"/>
    <n v="3"/>
    <n v="2100"/>
    <n v="6300"/>
  </r>
  <r>
    <n v="33"/>
    <x v="32"/>
    <x v="2"/>
    <s v="Domietta"/>
    <x v="3"/>
    <n v="2"/>
    <n v="8500"/>
    <n v="17000"/>
  </r>
  <r>
    <n v="34"/>
    <x v="33"/>
    <x v="3"/>
    <s v="Giza"/>
    <x v="3"/>
    <n v="8"/>
    <n v="8500"/>
    <n v="68000"/>
  </r>
  <r>
    <n v="35"/>
    <x v="34"/>
    <x v="4"/>
    <s v="Alexandria"/>
    <x v="0"/>
    <n v="2"/>
    <n v="210"/>
    <n v="420"/>
  </r>
  <r>
    <n v="36"/>
    <x v="35"/>
    <x v="5"/>
    <s v="Alexandria"/>
    <x v="7"/>
    <n v="2"/>
    <n v="190"/>
    <n v="380"/>
  </r>
  <r>
    <n v="37"/>
    <x v="36"/>
    <x v="0"/>
    <s v="Alexandria"/>
    <x v="3"/>
    <n v="3"/>
    <n v="8500"/>
    <n v="25500"/>
  </r>
  <r>
    <n v="38"/>
    <x v="37"/>
    <x v="1"/>
    <s v="Giza"/>
    <x v="0"/>
    <n v="5"/>
    <n v="210"/>
    <n v="1050"/>
  </r>
  <r>
    <n v="39"/>
    <x v="38"/>
    <x v="2"/>
    <s v="Domietta"/>
    <x v="2"/>
    <n v="5"/>
    <n v="2100"/>
    <n v="10500"/>
  </r>
  <r>
    <n v="40"/>
    <x v="39"/>
    <x v="3"/>
    <s v="Domietta"/>
    <x v="5"/>
    <n v="6"/>
    <n v="1200"/>
    <n v="7200"/>
  </r>
  <r>
    <n v="41"/>
    <x v="40"/>
    <x v="6"/>
    <s v="milano"/>
    <x v="8"/>
    <n v="3"/>
    <n v="56"/>
    <n v="1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BED02D-DD01-4D63-8682-C39A8333C896}" name="PivotTable1" cacheId="0" applyNumberFormats="0" applyBorderFormats="0" applyFontFormats="0" applyPatternFormats="0" applyAlignmentFormats="0" applyWidthHeightFormats="1" dataCaption="Values" tag="89cc6003-0b4b-4901-801a-7ac76f13c485" updatedVersion="8" minRefreshableVersion="3" useAutoFormatting="1" itemPrintTitles="1" createdVersion="8" indent="0" outline="1" outlineData="1" multipleFieldFilters="0" rowHeaderCaption="name traders">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total profit" fld="1" baseField="0" baseItem="0"/>
    <dataField name="trades total" fld="2" subtotal="count" baseField="0" baseItem="1"/>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caption="StdDev of tradeid"/>
    <pivotHierarchy dragToData="1" caption="trades tota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ders]"/>
        <x15:activeTabTopLevelEntity name="[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CCA7B5-97F8-4219-AD97-3CE5BBB7E6F2}"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roducts by total amount">
  <location ref="A4:B14"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axis="axisRow" showAll="0">
      <items count="10">
        <item x="6"/>
        <item x="7"/>
        <item x="3"/>
        <item x="5"/>
        <item x="0"/>
        <item x="2"/>
        <item x="1"/>
        <item x="4"/>
        <item x="8"/>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0">
    <i>
      <x/>
    </i>
    <i>
      <x v="1"/>
    </i>
    <i>
      <x v="2"/>
    </i>
    <i>
      <x v="3"/>
    </i>
    <i>
      <x v="4"/>
    </i>
    <i>
      <x v="5"/>
    </i>
    <i>
      <x v="6"/>
    </i>
    <i>
      <x v="7"/>
    </i>
    <i>
      <x v="8"/>
    </i>
    <i t="grand">
      <x/>
    </i>
  </rowItems>
  <colItems count="1">
    <i/>
  </colItems>
  <dataFields count="1">
    <dataField name="Sum of Amount" fld="7"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66"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49E7C4-9317-4712-BCEA-AD1C47A69D59}"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saleman by total amount">
  <location ref="D35:E39"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axis="axisRow" showAll="0" measureFilter="1" sortType="descending">
      <items count="8">
        <item x="4"/>
        <item x="5"/>
        <item x="6"/>
        <item x="3"/>
        <item x="2"/>
        <item x="1"/>
        <item x="0"/>
        <item t="default"/>
      </items>
    </pivotField>
    <pivotField showAll="0"/>
    <pivotField showAll="0">
      <items count="10">
        <item h="1" x="8"/>
        <item h="1" x="6"/>
        <item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v="1"/>
    </i>
    <i>
      <x v="5"/>
    </i>
    <i>
      <x v="6"/>
    </i>
    <i t="grand">
      <x/>
    </i>
  </rowItems>
  <colItems count="1">
    <i/>
  </colItems>
  <dataFields count="1">
    <dataField name="Sum of Amount" fld="7" baseField="2"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2">
    <filter fld="1" type="dateBetween" evalOrder="-1" id="1167"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B9CD4D-7B45-49EE-9F1D-65935E7A87A4}"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K57:K58" firstHeaderRow="1" firstDataRow="1" firstDataCol="0"/>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of Amount" fld="7" subtotal="max" baseField="0" baseItem="0"/>
  </dataFields>
  <pivotTableStyleInfo name="PivotStyleLight16" showRowHeaders="1" showColHeaders="1" showRowStripes="0" showColStripes="0" showLastColumn="1"/>
  <filters count="1">
    <filter fld="1" type="dateBetween" evalOrder="-1" id="1166"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106AAC-D9B2-4FC1-9230-462032F2416C}"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roducts by total amount">
  <location ref="A35:B39"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axis="axisRow" showAll="0" measureFilter="1" sortType="descending">
      <items count="10">
        <item x="4"/>
        <item x="1"/>
        <item x="2"/>
        <item x="0"/>
        <item x="5"/>
        <item x="3"/>
        <item x="7"/>
        <item x="6"/>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v="5"/>
    </i>
    <i>
      <x v="2"/>
    </i>
    <i>
      <x v="4"/>
    </i>
    <i t="grand">
      <x/>
    </i>
  </rowItems>
  <colItems count="1">
    <i/>
  </colItems>
  <dataFields count="1">
    <dataField name="Sum of Amount" fld="7" baseField="4"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169"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 fld="4" type="count" evalOrder="-1" id="77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BD41DF-B58D-4015-977C-976FF3B038B1}"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H57:H58" firstHeaderRow="1" firstDataRow="1" firstDataCol="0"/>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Amount" fld="7" subtotal="average" baseField="0" baseItem="0"/>
  </dataFields>
  <pivotTableStyleInfo name="PivotStyleLight16" showRowHeaders="1" showColHeaders="1" showRowStripes="0" showColStripes="0" showLastColumn="1"/>
  <filters count="1">
    <filter fld="1" type="dateBetween" evalOrder="-1" id="1166"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A6D576-57C7-4909-9BEB-9A0003E00296}"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A57:A58" firstHeaderRow="1" firstDataRow="1" firstDataCol="0"/>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7" baseField="0" baseItem="0"/>
  </dataFields>
  <pivotTableStyleInfo name="PivotStyleLight16" showRowHeaders="1" showColHeaders="1" showRowStripes="0" showColStripes="0" showLastColumn="1"/>
  <filters count="1">
    <filter fld="1" type="dateBetween" evalOrder="-1" id="1166"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A71428-B028-42AF-AB3D-1A4E862DBE34}"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A18:B20"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axis="axisRow" showAll="0">
      <items count="10">
        <item h="1" x="6"/>
        <item x="7"/>
        <item h="1" x="3"/>
        <item h="1" x="5"/>
        <item h="1" x="0"/>
        <item h="1" x="2"/>
        <item h="1" x="1"/>
        <item h="1" x="4"/>
        <item h="1" x="8"/>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v="1"/>
    </i>
    <i t="grand">
      <x/>
    </i>
  </rowItems>
  <colItems count="1">
    <i/>
  </colItems>
  <dataFields count="1">
    <dataField name="Count of Amount" fld="7" subtotal="count" baseField="4" baseItem="0"/>
  </dataFields>
  <pivotTableStyleInfo name="PivotStyleLight16" showRowHeaders="1" showColHeaders="1" showRowStripes="0" showColStripes="0" showLastColumn="1"/>
  <filters count="1">
    <filter fld="1" type="dateBetween" evalOrder="-1" id="1166"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3FA7E9-C0E8-4969-A00F-F38B0EF492B9}"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roducts by total amount">
  <location ref="H13:I15"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axis="axisRow" showAll="0">
      <items count="10">
        <item h="1" x="6"/>
        <item x="7"/>
        <item h="1" x="3"/>
        <item h="1" x="5"/>
        <item h="1" x="0"/>
        <item h="1" x="2"/>
        <item h="1" x="1"/>
        <item h="1" x="4"/>
        <item h="1" x="8"/>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v="1"/>
    </i>
    <i t="grand">
      <x/>
    </i>
  </rowItems>
  <colItems count="1">
    <i/>
  </colItems>
  <dataFields count="1">
    <dataField name="Average of Price" fld="6" subtotal="average" baseField="4" baseItem="0"/>
  </dataFields>
  <pivotTableStyleInfo name="PivotStyleLight16" showRowHeaders="1" showColHeaders="1" showRowStripes="0" showColStripes="0" showLastColumn="1"/>
  <filters count="1">
    <filter fld="1" type="dateBetween" evalOrder="-1" id="1166"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05D2F9-2E80-4787-913B-C1FC915A823D}"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products by total amount">
  <location ref="H4:I7"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x="7"/>
        <item h="1" x="3"/>
        <item h="1" x="5"/>
        <item h="1" x="0"/>
        <item h="1" x="2"/>
        <item h="1" x="1"/>
        <item h="1"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3">
    <i>
      <x v="1"/>
    </i>
    <i>
      <x v="2"/>
    </i>
    <i t="grand">
      <x/>
    </i>
  </rowItems>
  <colItems count="1">
    <i/>
  </colItems>
  <dataFields count="1">
    <dataField name="Sum of Amount" fld="7"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66"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128458-EC56-4BEB-8955-C6F5088054A7}"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aleman by total amount">
  <location ref="D20:E25"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axis="axisRow" showAll="0">
      <items count="8">
        <item x="0"/>
        <item x="1"/>
        <item x="2"/>
        <item x="3"/>
        <item x="5"/>
        <item x="4"/>
        <item x="6"/>
        <item t="default"/>
      </items>
    </pivotField>
    <pivotField showAll="0"/>
    <pivotField showAll="0">
      <items count="10">
        <item h="1" x="8"/>
        <item h="1" x="6"/>
        <item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4"/>
    </i>
    <i>
      <x v="5"/>
    </i>
    <i t="grand">
      <x/>
    </i>
  </rowItems>
  <colItems count="1">
    <i/>
  </colItems>
  <dataFields count="1">
    <dataField name="Count of Amount" fld="7" subtotal="count" baseField="2" baseItem="0"/>
  </dataFields>
  <pivotTableStyleInfo name="PivotStyleLight16" showRowHeaders="1" showColHeaders="1" showRowStripes="0" showColStripes="0" showLastColumn="1"/>
  <filters count="1">
    <filter fld="1" type="dateBetween" evalOrder="-1" id="1166"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02907E-67FE-4AB8-8A19-5F4F4627DFFD}"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D57:D58" firstHeaderRow="1" firstDataRow="1" firstDataCol="0"/>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item" fld="7" subtotal="count" baseField="0" baseItem="0"/>
  </dataFields>
  <pivotTableStyleInfo name="PivotStyleLight16" showRowHeaders="1" showColHeaders="1" showRowStripes="0" showColStripes="0" showLastColumn="1"/>
  <filters count="1">
    <filter fld="1" type="dateBetween" evalOrder="-1" id="1166"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1085818-72E6-4AE2-8A25-596CE7DDCE44}"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by total amount">
  <location ref="N57:N58" firstHeaderRow="1" firstDataRow="1" firstDataCol="0"/>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showAll="0"/>
    <pivotField showAll="0"/>
    <pivotField showAll="0">
      <items count="10">
        <item h="1" x="8"/>
        <item h="1" x="6"/>
        <item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in of Amount" fld="7" subtotal="min" baseField="0" baseItem="0"/>
  </dataFields>
  <pivotTableStyleInfo name="PivotStyleLight16" showRowHeaders="1" showColHeaders="1" showRowStripes="0" showColStripes="0" showLastColumn="1"/>
  <filters count="1">
    <filter fld="1" type="dateBetween" evalOrder="-1" id="1166"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5A7D4C-F3B0-4140-8474-8DC713A1D055}"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saleman by total amount">
  <location ref="D4:E9" firstHeaderRow="1" firstDataRow="1" firstDataCol="1"/>
  <pivotFields count="10">
    <pivotField showAll="0"/>
    <pivotField numFmtId="14"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axis="axisRow" showAll="0">
      <items count="8">
        <item x="0"/>
        <item x="1"/>
        <item x="2"/>
        <item x="3"/>
        <item x="5"/>
        <item x="4"/>
        <item x="6"/>
        <item t="default"/>
      </items>
    </pivotField>
    <pivotField showAll="0"/>
    <pivotField showAll="0">
      <items count="10">
        <item h="1" x="8"/>
        <item h="1" x="6"/>
        <item x="7"/>
        <item h="1" x="3"/>
        <item h="1" x="5"/>
        <item h="1" x="0"/>
        <item h="1" x="2"/>
        <item h="1" x="1"/>
        <item h="1" x="4"/>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4"/>
    </i>
    <i>
      <x v="5"/>
    </i>
    <i t="grand">
      <x/>
    </i>
  </rowItems>
  <colItems count="1">
    <i/>
  </colItems>
  <dataFields count="1">
    <dataField name="Sum of Amount"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66" name="Date">
      <autoFilter ref="A1">
        <filterColumn colId="0">
          <customFilters and="1">
            <customFilter operator="greaterThanOrEqual" val="44927"/>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16712EC-DDAC-4FA1-9184-B28708EBE2FE}" sourceName="Item">
  <pivotTables>
    <pivotTable tabId="8" name="PivotTable3"/>
    <pivotTable tabId="8" name="PivotTable10"/>
    <pivotTable tabId="8" name="PivotTable11"/>
    <pivotTable tabId="8" name="PivotTable12"/>
    <pivotTable tabId="8" name="PivotTable4"/>
    <pivotTable tabId="8" name="PivotTable5"/>
    <pivotTable tabId="8" name="PivotTable7"/>
    <pivotTable tabId="8" name="PivotTable8"/>
    <pivotTable tabId="8" name="PivotTable9"/>
    <pivotTable tabId="8" name="PivotTable13"/>
    <pivotTable tabId="8" name="PivotTable14"/>
  </pivotTables>
  <data>
    <tabular pivotCacheId="2123660732">
      <items count="9">
        <i x="8"/>
        <i x="6"/>
        <i x="7" s="1"/>
        <i x="3"/>
        <i x="5"/>
        <i x="0"/>
        <i x="2"/>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23DEA063-8630-42E4-9EE9-8B4C22BC0FB2}" cache="Slicer_Item" caption="Item" columnCount="8"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FE77BC41-78A5-4008-B4EE-B87112052DF6}" cache="Slicer_Item" caption="Item" columnCount="8" style="SlicerStyleLight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43910386-C424-4BD1-962B-980F7473276A}" cache="Slicer_Item" caption="Item" columnCount="8"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678CC-A933-4146-A266-8561FE66B063}" name="trades" displayName="trades" ref="A2:C8" totalsRowShown="0" headerRowDxfId="42" headerRowBorderDxfId="41" tableBorderDxfId="40" totalsRowBorderDxfId="39">
  <autoFilter ref="A2:C8" xr:uid="{E9E678CC-A933-4146-A266-8561FE66B063}"/>
  <tableColumns count="3">
    <tableColumn id="1" xr3:uid="{F9EC0535-D2ED-4975-8C35-424457CA2DE6}" name="tradeid" dataDxfId="38"/>
    <tableColumn id="2" xr3:uid="{9B8BB1FC-668E-49CD-A8D7-420D207088F2}" name="pair" dataDxfId="37"/>
    <tableColumn id="3" xr3:uid="{5E681BDC-3DC3-4516-B864-5D0AE1542D9F}" name="profit"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F793BC-B311-4CDF-8DA7-E3AEA6D0D526}" name="traders" displayName="traders" ref="A2:C6" totalsRowShown="0" headerRowDxfId="35" headerRowBorderDxfId="34" tableBorderDxfId="33" totalsRowBorderDxfId="32">
  <autoFilter ref="A2:C6" xr:uid="{96F793BC-B311-4CDF-8DA7-E3AEA6D0D526}"/>
  <tableColumns count="3">
    <tableColumn id="1" xr3:uid="{68D02487-9EAC-4BB9-9D4A-0CE1E96851CB}" name="tradeid" dataDxfId="31"/>
    <tableColumn id="2" xr3:uid="{12D66D41-0E62-41A4-A2C5-9DF9CB0EA836}" name="name" dataDxfId="30"/>
    <tableColumn id="3" xr3:uid="{A9438FDE-5ADC-4819-BD3E-00588951190F}" name="lastname"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86897B-78D6-4FF7-8650-B8C9CDD52BAE}" name="client" displayName="client" ref="A2:D9" totalsRowShown="0" headerRowDxfId="28" headerRowBorderDxfId="27" tableBorderDxfId="26" totalsRowBorderDxfId="25">
  <autoFilter ref="A2:D9" xr:uid="{2486897B-78D6-4FF7-8650-B8C9CDD52BAE}"/>
  <tableColumns count="4">
    <tableColumn id="1" xr3:uid="{777E8C10-BE98-4358-9481-1AB4CFB9A947}" name="clientid" dataDxfId="24"/>
    <tableColumn id="2" xr3:uid="{9A2DEB65-468F-480B-BEF5-AAF8ED365379}" name="name" dataDxfId="23"/>
    <tableColumn id="3" xr3:uid="{1B7491DC-0A23-4566-9F79-D44ECFF3B165}" name="lastname" dataDxfId="22"/>
    <tableColumn id="4" xr3:uid="{58765888-333D-4334-BE18-C549AC0D18CF}" name="country" dataDxfId="2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EB578E-3BC9-41F0-B814-7E123E6A73E4}" name="productname" displayName="productname" ref="A3:C7" totalsRowShown="0" headerRowDxfId="20" headerRowBorderDxfId="19" tableBorderDxfId="18" totalsRowBorderDxfId="17">
  <autoFilter ref="A3:C7" xr:uid="{C0EB578E-3BC9-41F0-B814-7E123E6A73E4}"/>
  <tableColumns count="3">
    <tableColumn id="1" xr3:uid="{FE9B4DCD-B79F-4AB2-B0AD-10867D1DB9EB}" name="productname" dataDxfId="16"/>
    <tableColumn id="2" xr3:uid="{D9CDEBC8-2AA4-4242-B5E9-CB8A496F4F5C}" name="price" dataDxfId="15"/>
    <tableColumn id="3" xr3:uid="{79BDE64B-CC2F-4093-A1AC-E9408397D3C3}" name="qte"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9A0CE0-CDE1-4E4A-B9CB-B28BAE8443AB}" name="invoice" displayName="invoice" ref="A2:C8" totalsRowShown="0" headerRowDxfId="13" headerRowBorderDxfId="12" tableBorderDxfId="11" totalsRowBorderDxfId="10">
  <autoFilter ref="A2:C8" xr:uid="{4A9A0CE0-CDE1-4E4A-B9CB-B28BAE8443AB}"/>
  <tableColumns count="3">
    <tableColumn id="1" xr3:uid="{B6A7184C-BE63-4F0C-B6AE-738DB7257FFD}" name="date" dataDxfId="9">
      <calculatedColumnFormula>DATE(2026,10,5)</calculatedColumnFormula>
    </tableColumn>
    <tableColumn id="2" xr3:uid="{B4494D3F-AC50-4F95-AA82-23740AD1A282}" name="clientid" dataDxfId="8"/>
    <tableColumn id="3" xr3:uid="{CB7B7653-9379-419F-BB8E-37E09604FE44}" name="productname" dataDxfId="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24BCAD-14FE-4CB7-8FC4-4DC9405A7D98}" name="dataraw" displayName="dataraw" ref="A1:H42" totalsRowShown="0">
  <autoFilter ref="A1:H42" xr:uid="{5024BCAD-14FE-4CB7-8FC4-4DC9405A7D98}"/>
  <tableColumns count="8">
    <tableColumn id="1" xr3:uid="{496DC01D-C1B8-4F50-B198-021C6316EBB1}" name="S No"/>
    <tableColumn id="2" xr3:uid="{9D5EF8AD-7F70-4D2E-AAF2-AC2B5045BF09}" name="Date" dataDxfId="6"/>
    <tableColumn id="3" xr3:uid="{4DFF38DE-7B59-4B53-BE04-88EA2263FD98}" name="Salesman"/>
    <tableColumn id="4" xr3:uid="{8C4B621D-F0E4-41E3-95A4-5BF58D197771}" name="Region"/>
    <tableColumn id="5" xr3:uid="{B45792BE-DB9A-43CC-B463-58D04FFD7BE6}" name="Item"/>
    <tableColumn id="6" xr3:uid="{42458240-09FF-4A2A-914B-E1B70CDBF0D0}" name="Qty"/>
    <tableColumn id="7" xr3:uid="{2744D6BC-3E0C-4E5A-BE2A-B227D0CD0077}" name="Price" dataDxfId="5"/>
    <tableColumn id="8" xr3:uid="{ED0648F6-FD27-40AE-88F4-48D1D266766A}" name="Amount"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9DB7AE6-4A3E-4B71-A71F-EFFB48C16DAF}" sourceName="Date">
  <pivotTables>
    <pivotTable tabId="8" name="PivotTable3"/>
    <pivotTable tabId="8" name="PivotTable10"/>
    <pivotTable tabId="8" name="PivotTable11"/>
    <pivotTable tabId="8" name="PivotTable12"/>
    <pivotTable tabId="8" name="PivotTable2"/>
    <pivotTable tabId="8" name="PivotTable4"/>
    <pivotTable tabId="8" name="PivotTable5"/>
    <pivotTable tabId="8" name="PivotTable6"/>
    <pivotTable tabId="8" name="PivotTable7"/>
    <pivotTable tabId="8" name="PivotTable8"/>
    <pivotTable tabId="8" name="PivotTable9"/>
    <pivotTable tabId="8" name="PivotTable13"/>
    <pivotTable tabId="8" name="PivotTable14"/>
  </pivotTables>
  <state minimalRefreshVersion="6" lastRefreshVersion="6" pivotCacheId="2123660732" filterType="dateBetween">
    <selection startDate="2023-01-01T00:00:00" endDate="2023-03-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47AEEC7F-1B59-42CD-AC3E-005E93700E69}" cache="NativeTimeline_Date" caption="Date" showHeader="0" showSelectionLabel="0" showTimeLevel="0" showHorizontalScrollbar="0" level="2" selectionLevel="1" scrollPosition="2023-01-01T00:00:00" style="lala"/>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E1DB49B-9349-487E-9E64-4BEE34AC5625}" cache="NativeTimeline_Date" caption="Date" showHeader="0" showSelectionLabel="0" showTimeLevel="0" showHorizontalScrollbar="0" level="2" selectionLevel="1" scrollPosition="2023-01-01T00:00:00" style="lala"/>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5528314-E4CD-4A7C-82A1-1078B90ECD66}" cache="NativeTimeline_Date" caption="Date" showHeader="0" showSelectionLabel="0" showTimeLevel="0" showHorizontalScrollbar="0" level="2" selectionLevel="1" scrollPosition="2023-01-01T00:00:00" style="lala"/>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BDB38-A9B5-4382-9700-F816AED312B7}">
  <dimension ref="A3:C8"/>
  <sheetViews>
    <sheetView workbookViewId="0">
      <selection activeCell="B4" sqref="B4"/>
    </sheetView>
  </sheetViews>
  <sheetFormatPr defaultRowHeight="14.4" x14ac:dyDescent="0.3"/>
  <cols>
    <col min="1" max="1" width="14.21875" bestFit="1" customWidth="1"/>
    <col min="2" max="2" width="9.77734375" bestFit="1" customWidth="1"/>
    <col min="3" max="3" width="10.5546875" bestFit="1" customWidth="1"/>
    <col min="4" max="4" width="4.109375" bestFit="1" customWidth="1"/>
    <col min="5" max="5" width="5" bestFit="1" customWidth="1"/>
    <col min="6" max="6" width="10.5546875" bestFit="1" customWidth="1"/>
  </cols>
  <sheetData>
    <row r="3" spans="1:3" x14ac:dyDescent="0.3">
      <c r="A3" s="10" t="s">
        <v>17</v>
      </c>
      <c r="B3" t="s">
        <v>16</v>
      </c>
      <c r="C3" t="s">
        <v>15</v>
      </c>
    </row>
    <row r="4" spans="1:3" x14ac:dyDescent="0.3">
      <c r="A4" s="11" t="s">
        <v>6</v>
      </c>
      <c r="B4" s="12">
        <v>1545</v>
      </c>
      <c r="C4" s="12">
        <v>2</v>
      </c>
    </row>
    <row r="5" spans="1:3" x14ac:dyDescent="0.3">
      <c r="A5" s="11" t="s">
        <v>13</v>
      </c>
      <c r="B5" s="12">
        <v>-667</v>
      </c>
      <c r="C5" s="12">
        <v>1</v>
      </c>
    </row>
    <row r="6" spans="1:3" x14ac:dyDescent="0.3">
      <c r="A6" s="11" t="s">
        <v>11</v>
      </c>
      <c r="B6" s="12">
        <v>1314</v>
      </c>
      <c r="C6" s="12">
        <v>2</v>
      </c>
    </row>
    <row r="7" spans="1:3" x14ac:dyDescent="0.3">
      <c r="A7" s="11" t="s">
        <v>12</v>
      </c>
      <c r="B7" s="12">
        <v>-77</v>
      </c>
      <c r="C7" s="12">
        <v>1</v>
      </c>
    </row>
    <row r="8" spans="1:3" x14ac:dyDescent="0.3">
      <c r="A8" s="11" t="s">
        <v>14</v>
      </c>
      <c r="B8" s="12">
        <v>2115</v>
      </c>
      <c r="C8" s="12">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27B1-603B-4FE8-92A4-4D1E8B3FCE9F}">
  <dimension ref="A2:C8"/>
  <sheetViews>
    <sheetView workbookViewId="0">
      <selection activeCell="G8" sqref="G8"/>
    </sheetView>
  </sheetViews>
  <sheetFormatPr defaultRowHeight="14.4" x14ac:dyDescent="0.3"/>
  <cols>
    <col min="1" max="1" width="9" customWidth="1"/>
  </cols>
  <sheetData>
    <row r="2" spans="1:3" x14ac:dyDescent="0.3">
      <c r="A2" s="4" t="s">
        <v>0</v>
      </c>
      <c r="B2" s="5" t="s">
        <v>1</v>
      </c>
      <c r="C2" s="6" t="s">
        <v>2</v>
      </c>
    </row>
    <row r="3" spans="1:3" x14ac:dyDescent="0.3">
      <c r="A3" s="2">
        <v>100</v>
      </c>
      <c r="B3" s="1" t="s">
        <v>3</v>
      </c>
      <c r="C3" s="3">
        <v>563</v>
      </c>
    </row>
    <row r="4" spans="1:3" x14ac:dyDescent="0.3">
      <c r="A4" s="2">
        <v>200</v>
      </c>
      <c r="B4" s="1" t="s">
        <v>3</v>
      </c>
      <c r="C4" s="3">
        <v>778</v>
      </c>
    </row>
    <row r="5" spans="1:3" x14ac:dyDescent="0.3">
      <c r="A5" s="2">
        <v>200</v>
      </c>
      <c r="B5" s="1" t="s">
        <v>3</v>
      </c>
      <c r="C5" s="3">
        <v>536</v>
      </c>
    </row>
    <row r="6" spans="1:3" x14ac:dyDescent="0.3">
      <c r="A6" s="2">
        <v>100</v>
      </c>
      <c r="B6" s="1" t="s">
        <v>3</v>
      </c>
      <c r="C6" s="3">
        <v>982</v>
      </c>
    </row>
    <row r="7" spans="1:3" x14ac:dyDescent="0.3">
      <c r="A7" s="2">
        <v>300</v>
      </c>
      <c r="B7" s="1" t="s">
        <v>3</v>
      </c>
      <c r="C7" s="3">
        <v>-77</v>
      </c>
    </row>
    <row r="8" spans="1:3" x14ac:dyDescent="0.3">
      <c r="A8" s="7">
        <v>400</v>
      </c>
      <c r="B8" s="8" t="s">
        <v>3</v>
      </c>
      <c r="C8" s="9">
        <v>-667</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05DF2-EA86-4434-90CB-19D1E0ACE50B}">
  <dimension ref="A2:C6"/>
  <sheetViews>
    <sheetView workbookViewId="0">
      <selection activeCell="B3" sqref="B3"/>
    </sheetView>
  </sheetViews>
  <sheetFormatPr defaultRowHeight="14.4" x14ac:dyDescent="0.3"/>
  <cols>
    <col min="1" max="1" width="9" customWidth="1"/>
    <col min="3" max="3" width="10.6640625" customWidth="1"/>
  </cols>
  <sheetData>
    <row r="2" spans="1:3" x14ac:dyDescent="0.3">
      <c r="A2" s="4" t="s">
        <v>0</v>
      </c>
      <c r="B2" s="5" t="s">
        <v>4</v>
      </c>
      <c r="C2" s="6" t="s">
        <v>5</v>
      </c>
    </row>
    <row r="3" spans="1:3" x14ac:dyDescent="0.3">
      <c r="A3" s="2">
        <v>100</v>
      </c>
      <c r="B3" s="1" t="s">
        <v>6</v>
      </c>
      <c r="C3" s="3" t="s">
        <v>7</v>
      </c>
    </row>
    <row r="4" spans="1:3" x14ac:dyDescent="0.3">
      <c r="A4" s="2">
        <v>200</v>
      </c>
      <c r="B4" s="1" t="s">
        <v>11</v>
      </c>
      <c r="C4" s="3" t="s">
        <v>8</v>
      </c>
    </row>
    <row r="5" spans="1:3" x14ac:dyDescent="0.3">
      <c r="A5" s="2">
        <v>300</v>
      </c>
      <c r="B5" s="1" t="s">
        <v>12</v>
      </c>
      <c r="C5" s="3" t="s">
        <v>9</v>
      </c>
    </row>
    <row r="6" spans="1:3" x14ac:dyDescent="0.3">
      <c r="A6" s="7">
        <v>400</v>
      </c>
      <c r="B6" s="8" t="s">
        <v>13</v>
      </c>
      <c r="C6" s="9" t="s">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CA98-4F9C-4B5B-AE5A-7C01D1063E50}">
  <dimension ref="A2:D9"/>
  <sheetViews>
    <sheetView workbookViewId="0">
      <selection activeCell="C6" sqref="C6"/>
    </sheetView>
  </sheetViews>
  <sheetFormatPr defaultRowHeight="14.4" x14ac:dyDescent="0.3"/>
  <cols>
    <col min="1" max="1" width="11.44140625" customWidth="1"/>
    <col min="3" max="3" width="10.6640625" customWidth="1"/>
    <col min="4" max="4" width="9.109375" customWidth="1"/>
  </cols>
  <sheetData>
    <row r="2" spans="1:4" x14ac:dyDescent="0.3">
      <c r="A2" s="13" t="s">
        <v>18</v>
      </c>
      <c r="B2" s="14" t="s">
        <v>4</v>
      </c>
      <c r="C2" s="14" t="s">
        <v>5</v>
      </c>
      <c r="D2" s="15" t="s">
        <v>19</v>
      </c>
    </row>
    <row r="3" spans="1:4" x14ac:dyDescent="0.3">
      <c r="A3" s="2">
        <v>100</v>
      </c>
      <c r="B3" s="1" t="s">
        <v>11</v>
      </c>
      <c r="C3" s="1" t="s">
        <v>7</v>
      </c>
      <c r="D3" s="3" t="s">
        <v>30</v>
      </c>
    </row>
    <row r="4" spans="1:4" x14ac:dyDescent="0.3">
      <c r="A4" s="2">
        <v>200</v>
      </c>
      <c r="B4" s="1" t="s">
        <v>12</v>
      </c>
      <c r="C4" s="1" t="s">
        <v>9</v>
      </c>
      <c r="D4" s="3" t="s">
        <v>30</v>
      </c>
    </row>
    <row r="5" spans="1:4" x14ac:dyDescent="0.3">
      <c r="A5" s="2">
        <v>300</v>
      </c>
      <c r="B5" s="1" t="s">
        <v>20</v>
      </c>
      <c r="C5" s="1" t="s">
        <v>21</v>
      </c>
      <c r="D5" s="3" t="s">
        <v>31</v>
      </c>
    </row>
    <row r="6" spans="1:4" x14ac:dyDescent="0.3">
      <c r="A6" s="2">
        <v>400</v>
      </c>
      <c r="B6" s="1" t="s">
        <v>22</v>
      </c>
      <c r="C6" s="1" t="s">
        <v>23</v>
      </c>
      <c r="D6" s="3" t="s">
        <v>31</v>
      </c>
    </row>
    <row r="7" spans="1:4" x14ac:dyDescent="0.3">
      <c r="A7" s="2">
        <v>500</v>
      </c>
      <c r="B7" s="1" t="s">
        <v>24</v>
      </c>
      <c r="C7" s="1" t="s">
        <v>25</v>
      </c>
      <c r="D7" s="3" t="s">
        <v>32</v>
      </c>
    </row>
    <row r="8" spans="1:4" x14ac:dyDescent="0.3">
      <c r="A8" s="2">
        <v>600</v>
      </c>
      <c r="B8" s="1" t="s">
        <v>26</v>
      </c>
      <c r="C8" s="1" t="s">
        <v>27</v>
      </c>
      <c r="D8" s="3" t="s">
        <v>32</v>
      </c>
    </row>
    <row r="9" spans="1:4" x14ac:dyDescent="0.3">
      <c r="A9" s="7">
        <v>700</v>
      </c>
      <c r="B9" s="8" t="s">
        <v>28</v>
      </c>
      <c r="C9" s="8" t="s">
        <v>29</v>
      </c>
      <c r="D9" s="9" t="s">
        <v>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0602-22C1-45BF-BD18-9AB56A26442A}">
  <dimension ref="A3:C7"/>
  <sheetViews>
    <sheetView workbookViewId="0">
      <selection activeCell="H8" sqref="H8"/>
    </sheetView>
  </sheetViews>
  <sheetFormatPr defaultRowHeight="14.4" x14ac:dyDescent="0.3"/>
  <cols>
    <col min="1" max="1" width="14.109375" customWidth="1"/>
  </cols>
  <sheetData>
    <row r="3" spans="1:3" x14ac:dyDescent="0.3">
      <c r="A3" s="13" t="s">
        <v>34</v>
      </c>
      <c r="B3" s="14" t="s">
        <v>35</v>
      </c>
      <c r="C3" s="15" t="s">
        <v>36</v>
      </c>
    </row>
    <row r="4" spans="1:3" x14ac:dyDescent="0.3">
      <c r="A4" s="2" t="s">
        <v>37</v>
      </c>
      <c r="B4" s="1">
        <v>500</v>
      </c>
      <c r="C4" s="3">
        <v>50</v>
      </c>
    </row>
    <row r="5" spans="1:3" x14ac:dyDescent="0.3">
      <c r="A5" s="2" t="s">
        <v>38</v>
      </c>
      <c r="B5" s="1">
        <v>1000</v>
      </c>
      <c r="C5" s="3">
        <v>50</v>
      </c>
    </row>
    <row r="6" spans="1:3" x14ac:dyDescent="0.3">
      <c r="A6" s="2" t="s">
        <v>39</v>
      </c>
      <c r="B6" s="1">
        <v>50</v>
      </c>
      <c r="C6" s="3">
        <v>50</v>
      </c>
    </row>
    <row r="7" spans="1:3" x14ac:dyDescent="0.3">
      <c r="A7" s="7" t="s">
        <v>40</v>
      </c>
      <c r="B7" s="8">
        <v>30</v>
      </c>
      <c r="C7" s="9">
        <v>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68D6-98C6-40F2-86FE-1888DA63A4D1}">
  <dimension ref="A2:C8"/>
  <sheetViews>
    <sheetView workbookViewId="0">
      <selection activeCell="H6" sqref="H6"/>
    </sheetView>
  </sheetViews>
  <sheetFormatPr defaultRowHeight="14.4" x14ac:dyDescent="0.3"/>
  <cols>
    <col min="1" max="1" width="15.88671875" customWidth="1"/>
    <col min="2" max="2" width="9.33203125" customWidth="1"/>
    <col min="3" max="3" width="14.109375" customWidth="1"/>
  </cols>
  <sheetData>
    <row r="2" spans="1:3" x14ac:dyDescent="0.3">
      <c r="A2" s="4" t="s">
        <v>41</v>
      </c>
      <c r="B2" s="5" t="s">
        <v>18</v>
      </c>
      <c r="C2" s="6" t="s">
        <v>34</v>
      </c>
    </row>
    <row r="3" spans="1:3" x14ac:dyDescent="0.3">
      <c r="A3" s="16">
        <f t="shared" ref="A3:A8" si="0">DATE(2026,10,5)</f>
        <v>46300</v>
      </c>
      <c r="B3" s="1">
        <v>100</v>
      </c>
      <c r="C3" s="3" t="s">
        <v>38</v>
      </c>
    </row>
    <row r="4" spans="1:3" x14ac:dyDescent="0.3">
      <c r="A4" s="16">
        <f t="shared" si="0"/>
        <v>46300</v>
      </c>
      <c r="B4" s="1">
        <v>100</v>
      </c>
      <c r="C4" s="3" t="s">
        <v>37</v>
      </c>
    </row>
    <row r="5" spans="1:3" x14ac:dyDescent="0.3">
      <c r="A5" s="16">
        <f t="shared" si="0"/>
        <v>46300</v>
      </c>
      <c r="B5" s="1">
        <v>200</v>
      </c>
      <c r="C5" s="3" t="s">
        <v>40</v>
      </c>
    </row>
    <row r="6" spans="1:3" x14ac:dyDescent="0.3">
      <c r="A6" s="16">
        <f t="shared" si="0"/>
        <v>46300</v>
      </c>
      <c r="B6" s="1">
        <v>300</v>
      </c>
      <c r="C6" s="3" t="s">
        <v>40</v>
      </c>
    </row>
    <row r="7" spans="1:3" x14ac:dyDescent="0.3">
      <c r="A7" s="16">
        <f t="shared" si="0"/>
        <v>46300</v>
      </c>
      <c r="B7" s="1">
        <v>400</v>
      </c>
      <c r="C7" s="3" t="s">
        <v>37</v>
      </c>
    </row>
    <row r="8" spans="1:3" x14ac:dyDescent="0.3">
      <c r="A8" s="17">
        <f t="shared" si="0"/>
        <v>46300</v>
      </c>
      <c r="B8" s="8">
        <v>200</v>
      </c>
      <c r="C8" s="9" t="s">
        <v>39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A2C5B-D7D5-443E-AA97-CEA35F108EF9}">
  <sheetPr>
    <tabColor theme="9" tint="0.59999389629810485"/>
  </sheetPr>
  <dimension ref="A1"/>
  <sheetViews>
    <sheetView showGridLines="0" workbookViewId="0">
      <selection activeCell="V8" sqref="V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DE2DF-8E26-4662-AE67-8CA94C16532A}">
  <sheetPr>
    <tabColor theme="9" tint="0.59999389629810485"/>
  </sheetPr>
  <dimension ref="A1"/>
  <sheetViews>
    <sheetView zoomScaleNormal="100"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143D-0B44-45EE-9664-342F81F327E3}">
  <sheetPr>
    <tabColor theme="9" tint="0.59999389629810485"/>
  </sheetPr>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D9CE-96E1-4E83-82C9-EEA8711E888B}">
  <sheetPr>
    <tabColor theme="9" tint="0.59999389629810485"/>
  </sheetPr>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BFCFE-B47A-4ABE-91B3-8CD7C2DD2B68}">
  <sheetPr>
    <tabColor theme="9" tint="0.39997558519241921"/>
  </sheetPr>
  <dimension ref="A1:O58"/>
  <sheetViews>
    <sheetView topLeftCell="A16" workbookViewId="0">
      <selection activeCell="E41" sqref="E41"/>
    </sheetView>
  </sheetViews>
  <sheetFormatPr defaultRowHeight="14.4" x14ac:dyDescent="0.3"/>
  <cols>
    <col min="1" max="1" width="9.5546875" bestFit="1" customWidth="1"/>
    <col min="2" max="2" width="13.5546875" bestFit="1" customWidth="1"/>
    <col min="4" max="4" width="9.109375" bestFit="1" customWidth="1"/>
    <col min="5" max="5" width="13.5546875" bestFit="1" customWidth="1"/>
    <col min="8" max="8" width="24.21875" bestFit="1" customWidth="1"/>
    <col min="9" max="9" width="14.21875" bestFit="1" customWidth="1"/>
    <col min="11" max="11" width="13.109375" bestFit="1" customWidth="1"/>
    <col min="14" max="14" width="12.6640625" bestFit="1" customWidth="1"/>
  </cols>
  <sheetData>
    <row r="1" spans="1:9" x14ac:dyDescent="0.3">
      <c r="A1" s="28" t="s">
        <v>78</v>
      </c>
      <c r="B1" s="28"/>
      <c r="C1" s="28"/>
      <c r="D1" s="28"/>
      <c r="E1" s="28"/>
    </row>
    <row r="2" spans="1:9" x14ac:dyDescent="0.3">
      <c r="A2" s="28"/>
      <c r="B2" s="28"/>
      <c r="C2" s="28"/>
      <c r="D2" s="28"/>
      <c r="E2" s="28"/>
    </row>
    <row r="4" spans="1:9" x14ac:dyDescent="0.3">
      <c r="A4" s="10" t="s">
        <v>70</v>
      </c>
      <c r="B4" t="s">
        <v>68</v>
      </c>
      <c r="D4" s="10" t="s">
        <v>69</v>
      </c>
      <c r="E4" t="s">
        <v>68</v>
      </c>
      <c r="H4" s="10" t="s">
        <v>70</v>
      </c>
      <c r="I4" t="s">
        <v>68</v>
      </c>
    </row>
    <row r="5" spans="1:9" x14ac:dyDescent="0.3">
      <c r="A5" s="11" t="s">
        <v>66</v>
      </c>
      <c r="B5" s="12">
        <v>3600</v>
      </c>
      <c r="D5" s="11" t="s">
        <v>50</v>
      </c>
      <c r="E5" s="12">
        <v>1140</v>
      </c>
      <c r="H5" s="11" t="s">
        <v>79</v>
      </c>
      <c r="I5" s="12">
        <v>2850</v>
      </c>
    </row>
    <row r="6" spans="1:9" x14ac:dyDescent="0.3">
      <c r="A6" s="11" t="s">
        <v>67</v>
      </c>
      <c r="B6" s="12">
        <v>3230</v>
      </c>
      <c r="D6" s="11" t="s">
        <v>53</v>
      </c>
      <c r="E6" s="12">
        <v>760</v>
      </c>
      <c r="H6" s="11" t="s">
        <v>80</v>
      </c>
      <c r="I6" s="12">
        <v>380</v>
      </c>
    </row>
    <row r="7" spans="1:9" x14ac:dyDescent="0.3">
      <c r="A7" s="11" t="s">
        <v>61</v>
      </c>
      <c r="B7" s="12">
        <v>306000</v>
      </c>
      <c r="D7" s="11" t="s">
        <v>60</v>
      </c>
      <c r="E7" s="12">
        <v>1140</v>
      </c>
      <c r="H7" s="11" t="s">
        <v>14</v>
      </c>
      <c r="I7" s="12">
        <v>3230</v>
      </c>
    </row>
    <row r="8" spans="1:9" x14ac:dyDescent="0.3">
      <c r="A8" s="11" t="s">
        <v>65</v>
      </c>
      <c r="B8" s="12">
        <v>12000</v>
      </c>
      <c r="D8" s="11" t="s">
        <v>59</v>
      </c>
      <c r="E8" s="12">
        <v>190</v>
      </c>
    </row>
    <row r="9" spans="1:9" x14ac:dyDescent="0.3">
      <c r="A9" s="11" t="s">
        <v>52</v>
      </c>
      <c r="B9" s="12">
        <v>4200</v>
      </c>
      <c r="D9" s="11" t="s">
        <v>14</v>
      </c>
      <c r="E9" s="12">
        <v>3230</v>
      </c>
    </row>
    <row r="10" spans="1:9" x14ac:dyDescent="0.3">
      <c r="A10" s="11" t="s">
        <v>57</v>
      </c>
      <c r="B10" s="12">
        <v>79800</v>
      </c>
    </row>
    <row r="11" spans="1:9" x14ac:dyDescent="0.3">
      <c r="A11" s="11" t="s">
        <v>55</v>
      </c>
      <c r="B11" s="12">
        <v>10500</v>
      </c>
    </row>
    <row r="12" spans="1:9" x14ac:dyDescent="0.3">
      <c r="A12" s="11" t="s">
        <v>63</v>
      </c>
      <c r="B12" s="12">
        <v>7200</v>
      </c>
    </row>
    <row r="13" spans="1:9" x14ac:dyDescent="0.3">
      <c r="A13" s="11" t="s">
        <v>83</v>
      </c>
      <c r="B13" s="12">
        <v>168</v>
      </c>
      <c r="H13" s="10" t="s">
        <v>70</v>
      </c>
      <c r="I13" t="s">
        <v>84</v>
      </c>
    </row>
    <row r="14" spans="1:9" x14ac:dyDescent="0.3">
      <c r="A14" s="11" t="s">
        <v>14</v>
      </c>
      <c r="B14" s="12">
        <v>426698</v>
      </c>
      <c r="H14" s="11" t="s">
        <v>67</v>
      </c>
      <c r="I14" s="12">
        <v>190</v>
      </c>
    </row>
    <row r="15" spans="1:9" x14ac:dyDescent="0.3">
      <c r="H15" s="11" t="s">
        <v>14</v>
      </c>
      <c r="I15" s="12">
        <v>190</v>
      </c>
    </row>
    <row r="18" spans="1:5" x14ac:dyDescent="0.3">
      <c r="A18" s="10" t="s">
        <v>70</v>
      </c>
      <c r="B18" t="s">
        <v>71</v>
      </c>
    </row>
    <row r="19" spans="1:5" x14ac:dyDescent="0.3">
      <c r="A19" s="11" t="s">
        <v>67</v>
      </c>
      <c r="B19" s="12">
        <v>5</v>
      </c>
    </row>
    <row r="20" spans="1:5" x14ac:dyDescent="0.3">
      <c r="A20" s="11" t="s">
        <v>14</v>
      </c>
      <c r="B20" s="12">
        <v>5</v>
      </c>
      <c r="D20" s="10" t="s">
        <v>69</v>
      </c>
      <c r="E20" t="s">
        <v>71</v>
      </c>
    </row>
    <row r="21" spans="1:5" x14ac:dyDescent="0.3">
      <c r="D21" s="11" t="s">
        <v>50</v>
      </c>
      <c r="E21" s="12">
        <v>1</v>
      </c>
    </row>
    <row r="22" spans="1:5" x14ac:dyDescent="0.3">
      <c r="D22" s="11" t="s">
        <v>53</v>
      </c>
      <c r="E22" s="12">
        <v>1</v>
      </c>
    </row>
    <row r="23" spans="1:5" x14ac:dyDescent="0.3">
      <c r="D23" s="11" t="s">
        <v>60</v>
      </c>
      <c r="E23" s="12">
        <v>2</v>
      </c>
    </row>
    <row r="24" spans="1:5" x14ac:dyDescent="0.3">
      <c r="D24" s="11" t="s">
        <v>59</v>
      </c>
      <c r="E24" s="12">
        <v>1</v>
      </c>
    </row>
    <row r="25" spans="1:5" x14ac:dyDescent="0.3">
      <c r="D25" s="11" t="s">
        <v>14</v>
      </c>
      <c r="E25" s="12">
        <v>5</v>
      </c>
    </row>
    <row r="35" spans="1:5" x14ac:dyDescent="0.3">
      <c r="A35" s="10" t="s">
        <v>70</v>
      </c>
      <c r="B35" t="s">
        <v>68</v>
      </c>
      <c r="D35" s="10" t="s">
        <v>69</v>
      </c>
      <c r="E35" t="s">
        <v>68</v>
      </c>
    </row>
    <row r="36" spans="1:5" x14ac:dyDescent="0.3">
      <c r="A36" s="11" t="s">
        <v>61</v>
      </c>
      <c r="B36" s="12">
        <v>306000</v>
      </c>
      <c r="D36" s="11" t="s">
        <v>60</v>
      </c>
      <c r="E36" s="12">
        <v>1140</v>
      </c>
    </row>
    <row r="37" spans="1:5" x14ac:dyDescent="0.3">
      <c r="A37" s="11" t="s">
        <v>57</v>
      </c>
      <c r="B37" s="12">
        <v>79800</v>
      </c>
      <c r="D37" s="11" t="s">
        <v>53</v>
      </c>
      <c r="E37" s="12">
        <v>760</v>
      </c>
    </row>
    <row r="38" spans="1:5" x14ac:dyDescent="0.3">
      <c r="A38" s="11" t="s">
        <v>65</v>
      </c>
      <c r="B38" s="12">
        <v>12000</v>
      </c>
      <c r="D38" s="11" t="s">
        <v>50</v>
      </c>
      <c r="E38" s="12">
        <v>1140</v>
      </c>
    </row>
    <row r="39" spans="1:5" x14ac:dyDescent="0.3">
      <c r="A39" s="11" t="s">
        <v>14</v>
      </c>
      <c r="B39" s="12">
        <v>397800</v>
      </c>
      <c r="D39" s="11" t="s">
        <v>14</v>
      </c>
      <c r="E39" s="12">
        <v>3040</v>
      </c>
    </row>
    <row r="40" spans="1:5" x14ac:dyDescent="0.3">
      <c r="D40" s="11"/>
      <c r="E40" s="12"/>
    </row>
    <row r="41" spans="1:5" x14ac:dyDescent="0.3">
      <c r="D41" s="11"/>
      <c r="E41" s="12"/>
    </row>
    <row r="42" spans="1:5" x14ac:dyDescent="0.3">
      <c r="D42" s="11"/>
      <c r="E42" s="12"/>
    </row>
    <row r="43" spans="1:5" x14ac:dyDescent="0.3">
      <c r="D43" s="11"/>
      <c r="E43" s="12"/>
    </row>
    <row r="44" spans="1:5" x14ac:dyDescent="0.3">
      <c r="D44" s="11"/>
      <c r="E44" s="12"/>
    </row>
    <row r="45" spans="1:5" x14ac:dyDescent="0.3">
      <c r="D45" s="11"/>
      <c r="E45" s="12"/>
    </row>
    <row r="46" spans="1:5" x14ac:dyDescent="0.3">
      <c r="D46" s="11"/>
      <c r="E46" s="12"/>
    </row>
    <row r="47" spans="1:5" x14ac:dyDescent="0.3">
      <c r="D47" s="11"/>
      <c r="E47" s="12"/>
    </row>
    <row r="53" spans="1:15" x14ac:dyDescent="0.3">
      <c r="A53" s="27" t="s">
        <v>77</v>
      </c>
      <c r="B53" s="27"/>
      <c r="C53" s="27"/>
      <c r="D53" s="27"/>
      <c r="E53" s="27"/>
      <c r="F53" s="27"/>
      <c r="G53" s="27"/>
      <c r="H53" s="27"/>
      <c r="I53" s="27"/>
      <c r="J53" s="27"/>
      <c r="K53" s="27"/>
      <c r="L53" s="27"/>
      <c r="M53" s="27"/>
      <c r="N53" s="27"/>
      <c r="O53" s="27"/>
    </row>
    <row r="54" spans="1:15" x14ac:dyDescent="0.3">
      <c r="A54" s="27"/>
      <c r="B54" s="27"/>
      <c r="C54" s="27"/>
      <c r="D54" s="27"/>
      <c r="E54" s="27"/>
      <c r="F54" s="27"/>
      <c r="G54" s="27"/>
      <c r="H54" s="27"/>
      <c r="I54" s="27"/>
      <c r="J54" s="27"/>
      <c r="K54" s="27"/>
      <c r="L54" s="27"/>
      <c r="M54" s="27"/>
      <c r="N54" s="27"/>
      <c r="O54" s="27"/>
    </row>
    <row r="57" spans="1:15" x14ac:dyDescent="0.3">
      <c r="A57" t="s">
        <v>72</v>
      </c>
      <c r="D57" t="s">
        <v>73</v>
      </c>
      <c r="H57" t="s">
        <v>74</v>
      </c>
      <c r="K57" t="s">
        <v>75</v>
      </c>
      <c r="N57" t="s">
        <v>76</v>
      </c>
    </row>
    <row r="58" spans="1:15" x14ac:dyDescent="0.3">
      <c r="A58" s="12">
        <v>3230</v>
      </c>
      <c r="B58" s="20">
        <f>GETPIVOTDATA("Amount",$A$57)</f>
        <v>3230</v>
      </c>
      <c r="D58" s="12">
        <v>5</v>
      </c>
      <c r="E58" s="20">
        <f>GETPIVOTDATA("Amount",$D$57)</f>
        <v>5</v>
      </c>
      <c r="H58" s="12">
        <v>646</v>
      </c>
      <c r="I58" s="20">
        <f>GETPIVOTDATA("Amount",$H$57)</f>
        <v>646</v>
      </c>
      <c r="K58" s="12">
        <v>1140</v>
      </c>
      <c r="L58" s="20">
        <f>GETPIVOTDATA("Amount",$K$57)</f>
        <v>1140</v>
      </c>
      <c r="N58" s="12">
        <v>190</v>
      </c>
      <c r="O58" s="20">
        <f>GETPIVOTDATA("Amount",$N$57)</f>
        <v>190</v>
      </c>
    </row>
  </sheetData>
  <mergeCells count="2">
    <mergeCell ref="A53:O54"/>
    <mergeCell ref="A1:E2"/>
  </mergeCells>
  <pageMargins left="0.7" right="0.7" top="0.75" bottom="0.75" header="0.3" footer="0.3"/>
  <drawing r:id="rId1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91A0D-F9CD-4A55-9EED-5EA4530ED298}">
  <sheetPr>
    <tabColor theme="9" tint="-0.249977111117893"/>
  </sheetPr>
  <dimension ref="A1:H42"/>
  <sheetViews>
    <sheetView workbookViewId="0">
      <selection activeCell="H43" sqref="H43"/>
    </sheetView>
  </sheetViews>
  <sheetFormatPr defaultRowHeight="14.4" x14ac:dyDescent="0.3"/>
  <cols>
    <col min="2" max="2" width="15.88671875" customWidth="1"/>
    <col min="3" max="3" width="11.109375" customWidth="1"/>
    <col min="8" max="8" width="9.33203125" customWidth="1"/>
  </cols>
  <sheetData>
    <row r="1" spans="1:8" x14ac:dyDescent="0.3">
      <c r="A1" t="s">
        <v>42</v>
      </c>
      <c r="B1" t="s">
        <v>43</v>
      </c>
      <c r="C1" t="s">
        <v>44</v>
      </c>
      <c r="D1" t="s">
        <v>45</v>
      </c>
      <c r="E1" t="s">
        <v>46</v>
      </c>
      <c r="F1" t="s">
        <v>47</v>
      </c>
      <c r="G1" t="s">
        <v>48</v>
      </c>
      <c r="H1" t="s">
        <v>49</v>
      </c>
    </row>
    <row r="2" spans="1:8" x14ac:dyDescent="0.3">
      <c r="A2">
        <v>1</v>
      </c>
      <c r="B2" s="18">
        <v>44927</v>
      </c>
      <c r="C2" t="s">
        <v>50</v>
      </c>
      <c r="D2" t="s">
        <v>51</v>
      </c>
      <c r="E2" t="s">
        <v>52</v>
      </c>
      <c r="F2">
        <v>5</v>
      </c>
      <c r="G2">
        <v>210</v>
      </c>
      <c r="H2" s="19">
        <v>1050</v>
      </c>
    </row>
    <row r="3" spans="1:8" x14ac:dyDescent="0.3">
      <c r="A3">
        <v>2</v>
      </c>
      <c r="B3" s="18">
        <v>44928</v>
      </c>
      <c r="C3" t="s">
        <v>53</v>
      </c>
      <c r="D3" t="s">
        <v>54</v>
      </c>
      <c r="E3" t="s">
        <v>55</v>
      </c>
      <c r="F3">
        <v>3</v>
      </c>
      <c r="G3" s="19">
        <v>1500</v>
      </c>
      <c r="H3" s="19">
        <v>4500</v>
      </c>
    </row>
    <row r="4" spans="1:8" x14ac:dyDescent="0.3">
      <c r="A4">
        <v>3</v>
      </c>
      <c r="B4" s="18">
        <v>44929</v>
      </c>
      <c r="C4" t="s">
        <v>56</v>
      </c>
      <c r="D4" t="s">
        <v>51</v>
      </c>
      <c r="E4" t="s">
        <v>57</v>
      </c>
      <c r="F4">
        <v>7</v>
      </c>
      <c r="G4" s="19">
        <v>2100</v>
      </c>
      <c r="H4" s="19">
        <v>14700</v>
      </c>
    </row>
    <row r="5" spans="1:8" x14ac:dyDescent="0.3">
      <c r="A5">
        <v>4</v>
      </c>
      <c r="B5" s="18">
        <v>44930</v>
      </c>
      <c r="C5" t="s">
        <v>58</v>
      </c>
      <c r="D5" t="s">
        <v>51</v>
      </c>
      <c r="E5" t="s">
        <v>52</v>
      </c>
      <c r="F5">
        <v>2</v>
      </c>
      <c r="G5">
        <v>210</v>
      </c>
      <c r="H5">
        <v>420</v>
      </c>
    </row>
    <row r="6" spans="1:8" x14ac:dyDescent="0.3">
      <c r="A6">
        <v>5</v>
      </c>
      <c r="B6" s="18">
        <v>44931</v>
      </c>
      <c r="C6" t="s">
        <v>59</v>
      </c>
      <c r="D6" t="s">
        <v>54</v>
      </c>
      <c r="E6" t="s">
        <v>55</v>
      </c>
      <c r="F6">
        <v>1</v>
      </c>
      <c r="G6" s="19">
        <v>1500</v>
      </c>
      <c r="H6" s="19">
        <v>1500</v>
      </c>
    </row>
    <row r="7" spans="1:8" x14ac:dyDescent="0.3">
      <c r="A7">
        <v>6</v>
      </c>
      <c r="B7" s="18">
        <v>44932</v>
      </c>
      <c r="C7" t="s">
        <v>60</v>
      </c>
      <c r="D7" t="s">
        <v>54</v>
      </c>
      <c r="E7" t="s">
        <v>61</v>
      </c>
      <c r="F7">
        <v>4</v>
      </c>
      <c r="G7" s="19">
        <v>8500</v>
      </c>
      <c r="H7" s="19">
        <v>34000</v>
      </c>
    </row>
    <row r="8" spans="1:8" x14ac:dyDescent="0.3">
      <c r="A8">
        <v>7</v>
      </c>
      <c r="B8" s="18">
        <v>44933</v>
      </c>
      <c r="C8" t="s">
        <v>50</v>
      </c>
      <c r="D8" t="s">
        <v>62</v>
      </c>
      <c r="E8" t="s">
        <v>63</v>
      </c>
      <c r="F8">
        <v>1</v>
      </c>
      <c r="G8">
        <v>300</v>
      </c>
      <c r="H8">
        <v>300</v>
      </c>
    </row>
    <row r="9" spans="1:8" x14ac:dyDescent="0.3">
      <c r="A9">
        <v>8</v>
      </c>
      <c r="B9" s="18">
        <v>44934</v>
      </c>
      <c r="C9" t="s">
        <v>53</v>
      </c>
      <c r="D9" t="s">
        <v>54</v>
      </c>
      <c r="E9" t="s">
        <v>61</v>
      </c>
      <c r="F9">
        <v>6</v>
      </c>
      <c r="G9" s="19">
        <v>8500</v>
      </c>
      <c r="H9" s="19">
        <v>51000</v>
      </c>
    </row>
    <row r="10" spans="1:8" x14ac:dyDescent="0.3">
      <c r="A10">
        <v>9</v>
      </c>
      <c r="B10" s="18">
        <v>44935</v>
      </c>
      <c r="C10" t="s">
        <v>56</v>
      </c>
      <c r="D10" t="s">
        <v>64</v>
      </c>
      <c r="E10" t="s">
        <v>65</v>
      </c>
      <c r="F10">
        <v>4</v>
      </c>
      <c r="G10" s="19">
        <v>1200</v>
      </c>
      <c r="H10" s="19">
        <v>4800</v>
      </c>
    </row>
    <row r="11" spans="1:8" x14ac:dyDescent="0.3">
      <c r="A11">
        <v>10</v>
      </c>
      <c r="B11" s="18">
        <v>44936</v>
      </c>
      <c r="C11" t="s">
        <v>58</v>
      </c>
      <c r="D11" t="s">
        <v>64</v>
      </c>
      <c r="E11" t="s">
        <v>57</v>
      </c>
      <c r="F11">
        <v>2</v>
      </c>
      <c r="G11" s="19">
        <v>2100</v>
      </c>
      <c r="H11" s="19">
        <v>4200</v>
      </c>
    </row>
    <row r="12" spans="1:8" x14ac:dyDescent="0.3">
      <c r="A12">
        <v>11</v>
      </c>
      <c r="B12" s="18">
        <v>44937</v>
      </c>
      <c r="C12" t="s">
        <v>59</v>
      </c>
      <c r="D12" t="s">
        <v>62</v>
      </c>
      <c r="E12" t="s">
        <v>57</v>
      </c>
      <c r="F12">
        <v>6</v>
      </c>
      <c r="G12" s="19">
        <v>2100</v>
      </c>
      <c r="H12" s="19">
        <v>12600</v>
      </c>
    </row>
    <row r="13" spans="1:8" x14ac:dyDescent="0.3">
      <c r="A13">
        <v>12</v>
      </c>
      <c r="B13" s="18">
        <v>44938</v>
      </c>
      <c r="C13" t="s">
        <v>60</v>
      </c>
      <c r="D13" t="s">
        <v>64</v>
      </c>
      <c r="E13" t="s">
        <v>63</v>
      </c>
      <c r="F13">
        <v>1</v>
      </c>
      <c r="G13">
        <v>300</v>
      </c>
      <c r="H13">
        <v>300</v>
      </c>
    </row>
    <row r="14" spans="1:8" x14ac:dyDescent="0.3">
      <c r="A14">
        <v>13</v>
      </c>
      <c r="B14" s="18">
        <v>44939</v>
      </c>
      <c r="C14" t="s">
        <v>50</v>
      </c>
      <c r="D14" t="s">
        <v>62</v>
      </c>
      <c r="E14" t="s">
        <v>57</v>
      </c>
      <c r="F14">
        <v>7</v>
      </c>
      <c r="G14" s="19">
        <v>2100</v>
      </c>
      <c r="H14" s="19">
        <v>14700</v>
      </c>
    </row>
    <row r="15" spans="1:8" x14ac:dyDescent="0.3">
      <c r="A15">
        <v>14</v>
      </c>
      <c r="B15" s="18">
        <v>44940</v>
      </c>
      <c r="C15" t="s">
        <v>53</v>
      </c>
      <c r="D15" t="s">
        <v>51</v>
      </c>
      <c r="E15" t="s">
        <v>63</v>
      </c>
      <c r="F15">
        <v>6</v>
      </c>
      <c r="G15">
        <v>300</v>
      </c>
      <c r="H15" s="19">
        <v>1800</v>
      </c>
    </row>
    <row r="16" spans="1:8" x14ac:dyDescent="0.3">
      <c r="A16">
        <v>15</v>
      </c>
      <c r="B16" s="18">
        <v>44941</v>
      </c>
      <c r="C16" t="s">
        <v>56</v>
      </c>
      <c r="D16" t="s">
        <v>54</v>
      </c>
      <c r="E16" t="s">
        <v>57</v>
      </c>
      <c r="F16">
        <v>1</v>
      </c>
      <c r="G16" s="19">
        <v>2100</v>
      </c>
      <c r="H16" s="19">
        <v>2100</v>
      </c>
    </row>
    <row r="17" spans="1:8" x14ac:dyDescent="0.3">
      <c r="A17">
        <v>16</v>
      </c>
      <c r="B17" s="18">
        <v>44942</v>
      </c>
      <c r="C17" t="s">
        <v>58</v>
      </c>
      <c r="D17" t="s">
        <v>54</v>
      </c>
      <c r="E17" t="s">
        <v>63</v>
      </c>
      <c r="F17">
        <v>2</v>
      </c>
      <c r="G17">
        <v>300</v>
      </c>
      <c r="H17">
        <v>600</v>
      </c>
    </row>
    <row r="18" spans="1:8" x14ac:dyDescent="0.3">
      <c r="A18">
        <v>17</v>
      </c>
      <c r="B18" s="18">
        <v>44943</v>
      </c>
      <c r="C18" t="s">
        <v>59</v>
      </c>
      <c r="D18" t="s">
        <v>54</v>
      </c>
      <c r="E18" t="s">
        <v>57</v>
      </c>
      <c r="F18">
        <v>7</v>
      </c>
      <c r="G18" s="19">
        <v>2100</v>
      </c>
      <c r="H18" s="19">
        <v>14700</v>
      </c>
    </row>
    <row r="19" spans="1:8" x14ac:dyDescent="0.3">
      <c r="A19">
        <v>18</v>
      </c>
      <c r="B19" s="18">
        <v>44944</v>
      </c>
      <c r="C19" t="s">
        <v>60</v>
      </c>
      <c r="D19" t="s">
        <v>64</v>
      </c>
      <c r="E19" t="s">
        <v>66</v>
      </c>
      <c r="F19">
        <v>6</v>
      </c>
      <c r="G19">
        <v>450</v>
      </c>
      <c r="H19" s="19">
        <v>2700</v>
      </c>
    </row>
    <row r="20" spans="1:8" x14ac:dyDescent="0.3">
      <c r="A20">
        <v>19</v>
      </c>
      <c r="B20" s="18">
        <v>44945</v>
      </c>
      <c r="C20" t="s">
        <v>50</v>
      </c>
      <c r="D20" t="s">
        <v>54</v>
      </c>
      <c r="E20" t="s">
        <v>67</v>
      </c>
      <c r="F20">
        <v>6</v>
      </c>
      <c r="G20">
        <v>190</v>
      </c>
      <c r="H20" s="19">
        <v>1140</v>
      </c>
    </row>
    <row r="21" spans="1:8" x14ac:dyDescent="0.3">
      <c r="A21">
        <v>20</v>
      </c>
      <c r="B21" s="18">
        <v>44946</v>
      </c>
      <c r="C21" t="s">
        <v>53</v>
      </c>
      <c r="D21" t="s">
        <v>54</v>
      </c>
      <c r="E21" t="s">
        <v>63</v>
      </c>
      <c r="F21">
        <v>2</v>
      </c>
      <c r="G21">
        <v>300</v>
      </c>
      <c r="H21">
        <v>600</v>
      </c>
    </row>
    <row r="22" spans="1:8" x14ac:dyDescent="0.3">
      <c r="A22">
        <v>21</v>
      </c>
      <c r="B22" s="18">
        <v>44947</v>
      </c>
      <c r="C22" t="s">
        <v>56</v>
      </c>
      <c r="D22" t="s">
        <v>54</v>
      </c>
      <c r="E22" t="s">
        <v>55</v>
      </c>
      <c r="F22">
        <v>3</v>
      </c>
      <c r="G22" s="19">
        <v>1500</v>
      </c>
      <c r="H22" s="19">
        <v>4500</v>
      </c>
    </row>
    <row r="23" spans="1:8" x14ac:dyDescent="0.3">
      <c r="A23">
        <v>22</v>
      </c>
      <c r="B23" s="18">
        <v>44948</v>
      </c>
      <c r="C23" t="s">
        <v>58</v>
      </c>
      <c r="D23" t="s">
        <v>62</v>
      </c>
      <c r="E23" t="s">
        <v>61</v>
      </c>
      <c r="F23">
        <v>5</v>
      </c>
      <c r="G23" s="19">
        <v>8500</v>
      </c>
      <c r="H23" s="19">
        <v>42500</v>
      </c>
    </row>
    <row r="24" spans="1:8" x14ac:dyDescent="0.3">
      <c r="A24">
        <v>23</v>
      </c>
      <c r="B24" s="18">
        <v>44949</v>
      </c>
      <c r="C24" t="s">
        <v>59</v>
      </c>
      <c r="D24" t="s">
        <v>54</v>
      </c>
      <c r="E24" t="s">
        <v>67</v>
      </c>
      <c r="F24">
        <v>1</v>
      </c>
      <c r="G24">
        <v>190</v>
      </c>
      <c r="H24">
        <v>190</v>
      </c>
    </row>
    <row r="25" spans="1:8" x14ac:dyDescent="0.3">
      <c r="A25">
        <v>24</v>
      </c>
      <c r="B25" s="18">
        <v>44950</v>
      </c>
      <c r="C25" t="s">
        <v>60</v>
      </c>
      <c r="D25" t="s">
        <v>54</v>
      </c>
      <c r="E25" t="s">
        <v>52</v>
      </c>
      <c r="F25">
        <v>6</v>
      </c>
      <c r="G25">
        <v>210</v>
      </c>
      <c r="H25" s="19">
        <v>1260</v>
      </c>
    </row>
    <row r="26" spans="1:8" x14ac:dyDescent="0.3">
      <c r="A26">
        <v>25</v>
      </c>
      <c r="B26" s="18">
        <v>44951</v>
      </c>
      <c r="C26" t="s">
        <v>50</v>
      </c>
      <c r="D26" t="s">
        <v>62</v>
      </c>
      <c r="E26" t="s">
        <v>63</v>
      </c>
      <c r="F26">
        <v>2</v>
      </c>
      <c r="G26">
        <v>300</v>
      </c>
      <c r="H26">
        <v>600</v>
      </c>
    </row>
    <row r="27" spans="1:8" x14ac:dyDescent="0.3">
      <c r="A27">
        <v>26</v>
      </c>
      <c r="B27" s="18">
        <v>44952</v>
      </c>
      <c r="C27" t="s">
        <v>53</v>
      </c>
      <c r="D27" t="s">
        <v>54</v>
      </c>
      <c r="E27" t="s">
        <v>67</v>
      </c>
      <c r="F27">
        <v>4</v>
      </c>
      <c r="G27">
        <v>190</v>
      </c>
      <c r="H27">
        <v>760</v>
      </c>
    </row>
    <row r="28" spans="1:8" x14ac:dyDescent="0.3">
      <c r="A28">
        <v>27</v>
      </c>
      <c r="B28" s="18">
        <v>44953</v>
      </c>
      <c r="C28" t="s">
        <v>56</v>
      </c>
      <c r="D28" t="s">
        <v>62</v>
      </c>
      <c r="E28" t="s">
        <v>61</v>
      </c>
      <c r="F28">
        <v>8</v>
      </c>
      <c r="G28" s="19">
        <v>8500</v>
      </c>
      <c r="H28" s="19">
        <v>68000</v>
      </c>
    </row>
    <row r="29" spans="1:8" x14ac:dyDescent="0.3">
      <c r="A29">
        <v>28</v>
      </c>
      <c r="B29" s="18">
        <v>44954</v>
      </c>
      <c r="C29" t="s">
        <v>58</v>
      </c>
      <c r="D29" t="s">
        <v>54</v>
      </c>
      <c r="E29" t="s">
        <v>63</v>
      </c>
      <c r="F29">
        <v>3</v>
      </c>
      <c r="G29">
        <v>300</v>
      </c>
      <c r="H29">
        <v>900</v>
      </c>
    </row>
    <row r="30" spans="1:8" x14ac:dyDescent="0.3">
      <c r="A30">
        <v>29</v>
      </c>
      <c r="B30" s="18">
        <v>44955</v>
      </c>
      <c r="C30" t="s">
        <v>59</v>
      </c>
      <c r="D30" t="s">
        <v>54</v>
      </c>
      <c r="E30" t="s">
        <v>63</v>
      </c>
      <c r="F30">
        <v>7</v>
      </c>
      <c r="G30">
        <v>300</v>
      </c>
      <c r="H30" s="19">
        <v>2100</v>
      </c>
    </row>
    <row r="31" spans="1:8" x14ac:dyDescent="0.3">
      <c r="A31">
        <v>30</v>
      </c>
      <c r="B31" s="18">
        <v>44956</v>
      </c>
      <c r="C31" t="s">
        <v>60</v>
      </c>
      <c r="D31" t="s">
        <v>62</v>
      </c>
      <c r="E31" t="s">
        <v>67</v>
      </c>
      <c r="F31">
        <v>4</v>
      </c>
      <c r="G31">
        <v>190</v>
      </c>
      <c r="H31">
        <v>760</v>
      </c>
    </row>
    <row r="32" spans="1:8" x14ac:dyDescent="0.3">
      <c r="A32">
        <v>31</v>
      </c>
      <c r="B32" s="18">
        <v>44957</v>
      </c>
      <c r="C32" t="s">
        <v>50</v>
      </c>
      <c r="D32" t="s">
        <v>54</v>
      </c>
      <c r="E32" t="s">
        <v>66</v>
      </c>
      <c r="F32">
        <v>2</v>
      </c>
      <c r="G32">
        <v>450</v>
      </c>
      <c r="H32">
        <v>900</v>
      </c>
    </row>
    <row r="33" spans="1:8" x14ac:dyDescent="0.3">
      <c r="A33">
        <v>32</v>
      </c>
      <c r="B33" s="18">
        <v>44958</v>
      </c>
      <c r="C33" t="s">
        <v>53</v>
      </c>
      <c r="D33" t="s">
        <v>51</v>
      </c>
      <c r="E33" t="s">
        <v>57</v>
      </c>
      <c r="F33">
        <v>3</v>
      </c>
      <c r="G33" s="19">
        <v>2100</v>
      </c>
      <c r="H33" s="19">
        <v>6300</v>
      </c>
    </row>
    <row r="34" spans="1:8" x14ac:dyDescent="0.3">
      <c r="A34">
        <v>33</v>
      </c>
      <c r="B34" s="18">
        <v>44959</v>
      </c>
      <c r="C34" t="s">
        <v>56</v>
      </c>
      <c r="D34" t="s">
        <v>54</v>
      </c>
      <c r="E34" t="s">
        <v>61</v>
      </c>
      <c r="F34">
        <v>2</v>
      </c>
      <c r="G34" s="19">
        <v>8500</v>
      </c>
      <c r="H34" s="19">
        <v>17000</v>
      </c>
    </row>
    <row r="35" spans="1:8" x14ac:dyDescent="0.3">
      <c r="A35">
        <v>34</v>
      </c>
      <c r="B35" s="18">
        <v>44960</v>
      </c>
      <c r="C35" t="s">
        <v>58</v>
      </c>
      <c r="D35" t="s">
        <v>62</v>
      </c>
      <c r="E35" t="s">
        <v>61</v>
      </c>
      <c r="F35">
        <v>8</v>
      </c>
      <c r="G35" s="19">
        <v>8500</v>
      </c>
      <c r="H35" s="19">
        <v>68000</v>
      </c>
    </row>
    <row r="36" spans="1:8" x14ac:dyDescent="0.3">
      <c r="A36">
        <v>35</v>
      </c>
      <c r="B36" s="18">
        <v>44961</v>
      </c>
      <c r="C36" t="s">
        <v>59</v>
      </c>
      <c r="D36" t="s">
        <v>64</v>
      </c>
      <c r="E36" t="s">
        <v>52</v>
      </c>
      <c r="F36">
        <v>2</v>
      </c>
      <c r="G36">
        <v>210</v>
      </c>
      <c r="H36">
        <v>420</v>
      </c>
    </row>
    <row r="37" spans="1:8" x14ac:dyDescent="0.3">
      <c r="A37">
        <v>36</v>
      </c>
      <c r="B37" s="18">
        <v>44962</v>
      </c>
      <c r="C37" t="s">
        <v>60</v>
      </c>
      <c r="D37" t="s">
        <v>64</v>
      </c>
      <c r="E37" t="s">
        <v>67</v>
      </c>
      <c r="F37">
        <v>2</v>
      </c>
      <c r="G37">
        <v>190</v>
      </c>
      <c r="H37">
        <v>380</v>
      </c>
    </row>
    <row r="38" spans="1:8" x14ac:dyDescent="0.3">
      <c r="A38">
        <v>37</v>
      </c>
      <c r="B38" s="18">
        <v>44963</v>
      </c>
      <c r="C38" t="s">
        <v>50</v>
      </c>
      <c r="D38" t="s">
        <v>64</v>
      </c>
      <c r="E38" t="s">
        <v>61</v>
      </c>
      <c r="F38">
        <v>3</v>
      </c>
      <c r="G38" s="19">
        <v>8500</v>
      </c>
      <c r="H38" s="19">
        <v>25500</v>
      </c>
    </row>
    <row r="39" spans="1:8" x14ac:dyDescent="0.3">
      <c r="A39">
        <v>38</v>
      </c>
      <c r="B39" s="18">
        <v>44964</v>
      </c>
      <c r="C39" t="s">
        <v>53</v>
      </c>
      <c r="D39" t="s">
        <v>62</v>
      </c>
      <c r="E39" t="s">
        <v>52</v>
      </c>
      <c r="F39">
        <v>5</v>
      </c>
      <c r="G39">
        <v>210</v>
      </c>
      <c r="H39" s="19">
        <v>1050</v>
      </c>
    </row>
    <row r="40" spans="1:8" x14ac:dyDescent="0.3">
      <c r="A40">
        <v>39</v>
      </c>
      <c r="B40" s="18">
        <v>44965</v>
      </c>
      <c r="C40" t="s">
        <v>56</v>
      </c>
      <c r="D40" t="s">
        <v>54</v>
      </c>
      <c r="E40" t="s">
        <v>57</v>
      </c>
      <c r="F40">
        <v>5</v>
      </c>
      <c r="G40" s="19">
        <v>2100</v>
      </c>
      <c r="H40" s="19">
        <v>10500</v>
      </c>
    </row>
    <row r="41" spans="1:8" x14ac:dyDescent="0.3">
      <c r="A41">
        <v>40</v>
      </c>
      <c r="B41" s="18">
        <v>44966</v>
      </c>
      <c r="C41" t="s">
        <v>58</v>
      </c>
      <c r="D41" t="s">
        <v>54</v>
      </c>
      <c r="E41" t="s">
        <v>65</v>
      </c>
      <c r="F41">
        <v>6</v>
      </c>
      <c r="G41" s="19">
        <v>1200</v>
      </c>
      <c r="H41" s="19">
        <v>7200</v>
      </c>
    </row>
    <row r="42" spans="1:8" x14ac:dyDescent="0.3">
      <c r="A42">
        <v>41</v>
      </c>
      <c r="B42" s="18">
        <v>45004</v>
      </c>
      <c r="C42" t="s">
        <v>81</v>
      </c>
      <c r="D42" t="s">
        <v>82</v>
      </c>
      <c r="E42" t="s">
        <v>83</v>
      </c>
      <c r="F42">
        <v>3</v>
      </c>
      <c r="G42" s="19">
        <v>56</v>
      </c>
      <c r="H42" s="19">
        <f>dataraw[[#This Row],[Price]]*dataraw[[#This Row],[Qty]]</f>
        <v>168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EF884-2252-4957-9E46-FE7F24E6BB84}">
  <dimension ref="B4:I18"/>
  <sheetViews>
    <sheetView tabSelected="1" workbookViewId="0">
      <selection activeCell="M22" sqref="M22"/>
    </sheetView>
  </sheetViews>
  <sheetFormatPr defaultRowHeight="14.4" x14ac:dyDescent="0.3"/>
  <cols>
    <col min="1" max="1" width="11.88671875" customWidth="1"/>
    <col min="2" max="2" width="12.6640625" customWidth="1"/>
    <col min="3" max="3" width="14.77734375" customWidth="1"/>
    <col min="4" max="4" width="14.109375" customWidth="1"/>
  </cols>
  <sheetData>
    <row r="4" spans="2:9" x14ac:dyDescent="0.3">
      <c r="B4" s="25"/>
      <c r="C4" s="25" t="s">
        <v>89</v>
      </c>
      <c r="D4" s="25" t="s">
        <v>91</v>
      </c>
    </row>
    <row r="5" spans="2:9" x14ac:dyDescent="0.3">
      <c r="B5" s="21" t="s">
        <v>85</v>
      </c>
      <c r="C5" s="22">
        <v>1400</v>
      </c>
      <c r="D5" s="23">
        <f>C5/$C$9</f>
        <v>0.85470085470085466</v>
      </c>
      <c r="G5" s="33">
        <v>10</v>
      </c>
    </row>
    <row r="6" spans="2:9" x14ac:dyDescent="0.3">
      <c r="B6" s="21" t="s">
        <v>86</v>
      </c>
      <c r="C6" s="22">
        <v>78</v>
      </c>
      <c r="D6" s="23">
        <f t="shared" ref="D6:D9" si="0">C6/$C$9</f>
        <v>4.7619047619047616E-2</v>
      </c>
      <c r="G6" s="33">
        <v>9</v>
      </c>
    </row>
    <row r="7" spans="2:9" x14ac:dyDescent="0.3">
      <c r="B7" s="21" t="s">
        <v>87</v>
      </c>
      <c r="C7" s="22">
        <v>90</v>
      </c>
      <c r="D7" s="23">
        <f t="shared" si="0"/>
        <v>5.4945054945054944E-2</v>
      </c>
      <c r="G7" s="33">
        <v>8</v>
      </c>
    </row>
    <row r="8" spans="2:9" x14ac:dyDescent="0.3">
      <c r="B8" s="21" t="s">
        <v>88</v>
      </c>
      <c r="C8" s="22">
        <v>70</v>
      </c>
      <c r="D8" s="23">
        <f t="shared" si="0"/>
        <v>4.2735042735042736E-2</v>
      </c>
      <c r="G8" s="33">
        <v>7</v>
      </c>
    </row>
    <row r="9" spans="2:9" x14ac:dyDescent="0.3">
      <c r="B9" s="24" t="s">
        <v>90</v>
      </c>
      <c r="C9" s="22">
        <f>SUM(C5:C8)</f>
        <v>1638</v>
      </c>
      <c r="D9" s="21">
        <f t="shared" si="0"/>
        <v>1</v>
      </c>
      <c r="G9" s="33">
        <v>6</v>
      </c>
    </row>
    <row r="10" spans="2:9" x14ac:dyDescent="0.3">
      <c r="G10" s="33">
        <v>5</v>
      </c>
    </row>
    <row r="11" spans="2:9" x14ac:dyDescent="0.3">
      <c r="D11" s="26"/>
      <c r="G11" s="33">
        <v>5</v>
      </c>
    </row>
    <row r="12" spans="2:9" x14ac:dyDescent="0.3">
      <c r="G12" s="33">
        <v>4</v>
      </c>
    </row>
    <row r="13" spans="2:9" x14ac:dyDescent="0.3">
      <c r="G13" s="33">
        <v>3</v>
      </c>
      <c r="I13" s="34">
        <v>10</v>
      </c>
    </row>
    <row r="14" spans="2:9" x14ac:dyDescent="0.3">
      <c r="G14" s="33">
        <v>2</v>
      </c>
      <c r="I14" s="34">
        <v>5</v>
      </c>
    </row>
    <row r="15" spans="2:9" x14ac:dyDescent="0.3">
      <c r="G15" s="33">
        <v>1</v>
      </c>
      <c r="I15" s="34">
        <v>1</v>
      </c>
    </row>
    <row r="17" spans="7:9" x14ac:dyDescent="0.3">
      <c r="G17" s="30"/>
    </row>
    <row r="18" spans="7:9" x14ac:dyDescent="0.3">
      <c r="I18" s="30"/>
    </row>
  </sheetData>
  <conditionalFormatting sqref="C5:C8">
    <cfRule type="colorScale" priority="3">
      <colorScale>
        <cfvo type="min"/>
        <cfvo type="num" val="100"/>
        <cfvo type="max"/>
        <color rgb="FFF8696B"/>
        <color rgb="FFFFEB84"/>
        <color rgb="FF63BE7B"/>
      </colorScale>
    </cfRule>
  </conditionalFormatting>
  <conditionalFormatting sqref="D5:D8">
    <cfRule type="colorScale" priority="4">
      <colorScale>
        <cfvo type="min"/>
        <cfvo type="max"/>
        <color theme="8" tint="0.59999389629810485"/>
        <color rgb="FF63BE7B"/>
      </colorScale>
    </cfRule>
    <cfRule type="iconSet" priority="5">
      <iconSet iconSet="3TrafficLights2">
        <cfvo type="percent" val="0"/>
        <cfvo type="percent" val="33"/>
        <cfvo type="percent" val="67"/>
      </iconSet>
    </cfRule>
  </conditionalFormatting>
  <conditionalFormatting sqref="G5:G15">
    <cfRule type="expression" dxfId="2" priority="2">
      <formula>$G$17&gt;$G$5:$G$15</formula>
    </cfRule>
  </conditionalFormatting>
  <conditionalFormatting sqref="I13">
    <cfRule type="expression" dxfId="0" priority="1">
      <formula>$I$13:$I$15&gt;=$I$18</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60FE4-F00B-47C1-AD31-6530E807C44C}">
  <dimension ref="E4:G8"/>
  <sheetViews>
    <sheetView workbookViewId="0">
      <selection activeCell="I3" sqref="E3:I13"/>
    </sheetView>
  </sheetViews>
  <sheetFormatPr defaultRowHeight="14.4" x14ac:dyDescent="0.3"/>
  <cols>
    <col min="6" max="6" width="11" bestFit="1" customWidth="1"/>
  </cols>
  <sheetData>
    <row r="4" spans="5:7" x14ac:dyDescent="0.3">
      <c r="E4" s="31"/>
      <c r="F4" s="31"/>
    </row>
    <row r="5" spans="5:7" x14ac:dyDescent="0.3">
      <c r="F5" s="29"/>
      <c r="G5" s="29"/>
    </row>
    <row r="6" spans="5:7" x14ac:dyDescent="0.3">
      <c r="E6" s="32"/>
      <c r="F6" s="1"/>
      <c r="G6" s="1"/>
    </row>
    <row r="7" spans="5:7" x14ac:dyDescent="0.3">
      <c r="E7" s="32"/>
      <c r="F7" s="1"/>
      <c r="G7" s="1"/>
    </row>
    <row r="8" spans="5:7" x14ac:dyDescent="0.3">
      <c r="E8" s="32"/>
      <c r="F8" s="1"/>
      <c r="G8" s="1"/>
    </row>
  </sheetData>
  <mergeCells count="1">
    <mergeCell ref="E4:F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EBAD9F7-20F9-4DD8-B5A1-D8BE043A97CF}">
  <ds:schemaRefs/>
</ds:datastoreItem>
</file>

<file path=customXml/itemProps2.xml><?xml version="1.0" encoding="utf-8"?>
<ds:datastoreItem xmlns:ds="http://schemas.openxmlformats.org/officeDocument/2006/customXml" ds:itemID="{0C683F7F-38FA-452A-B137-2BE4C456C086}">
  <ds:schemaRefs/>
</ds:datastoreItem>
</file>

<file path=customXml/itemProps3.xml><?xml version="1.0" encoding="utf-8"?>
<ds:datastoreItem xmlns:ds="http://schemas.openxmlformats.org/officeDocument/2006/customXml" ds:itemID="{009A43EF-AB09-4DF7-BCBD-BD0B054FA1A7}">
  <ds:schemaRefs/>
</ds:datastoreItem>
</file>

<file path=customXml/itemProps4.xml><?xml version="1.0" encoding="utf-8"?>
<ds:datastoreItem xmlns:ds="http://schemas.openxmlformats.org/officeDocument/2006/customXml" ds:itemID="{62B2A0ED-C6CC-4EFC-AA6E-CE4344ECBA17}">
  <ds:schemaRefs/>
</ds:datastoreItem>
</file>

<file path=customXml/itemProps5.xml><?xml version="1.0" encoding="utf-8"?>
<ds:datastoreItem xmlns:ds="http://schemas.openxmlformats.org/officeDocument/2006/customXml" ds:itemID="{1726B34E-27E4-44AF-B32B-538A89F891D7}">
  <ds:schemaRefs/>
</ds:datastoreItem>
</file>

<file path=customXml/itemProps6.xml><?xml version="1.0" encoding="utf-8"?>
<ds:datastoreItem xmlns:ds="http://schemas.openxmlformats.org/officeDocument/2006/customXml" ds:itemID="{9AFCE036-CB70-4BEA-9D4F-DEFD2F183AF4}">
  <ds:schemaRefs/>
</ds:datastoreItem>
</file>

<file path=customXml/itemProps7.xml><?xml version="1.0" encoding="utf-8"?>
<ds:datastoreItem xmlns:ds="http://schemas.openxmlformats.org/officeDocument/2006/customXml" ds:itemID="{38E109C5-2E84-4F87-B114-B2909FDD7E92}">
  <ds:schemaRefs/>
</ds:datastoreItem>
</file>

<file path=customXml/itemProps8.xml><?xml version="1.0" encoding="utf-8"?>
<ds:datastoreItem xmlns:ds="http://schemas.openxmlformats.org/officeDocument/2006/customXml" ds:itemID="{2602C3D6-1CC3-4E3C-9976-E98BBA07608A}">
  <ds:schemaRefs/>
</ds:datastoreItem>
</file>

<file path=customXml/itemProps9.xml><?xml version="1.0" encoding="utf-8"?>
<ds:datastoreItem xmlns:ds="http://schemas.openxmlformats.org/officeDocument/2006/customXml" ds:itemID="{E3BFA8F2-3794-431F-9EB3-21512B27BFD5}">
  <ds:schemaRefs/>
</ds:datastoreItem>
</file>

<file path=customXml/itemProps10.xml><?xml version="1.0" encoding="utf-8"?>
<ds:datastoreItem xmlns:ds="http://schemas.openxmlformats.org/officeDocument/2006/customXml" ds:itemID="{B395E832-2FB1-4FCC-8347-BC626FE079C4}">
  <ds:schemaRefs/>
</ds:datastoreItem>
</file>

<file path=customXml/itemProps11.xml><?xml version="1.0" encoding="utf-8"?>
<ds:datastoreItem xmlns:ds="http://schemas.openxmlformats.org/officeDocument/2006/customXml" ds:itemID="{BC246F50-D6F7-44C6-B8B9-1DFA91E983AB}">
  <ds:schemaRefs/>
</ds:datastoreItem>
</file>

<file path=customXml/itemProps12.xml><?xml version="1.0" encoding="utf-8"?>
<ds:datastoreItem xmlns:ds="http://schemas.openxmlformats.org/officeDocument/2006/customXml" ds:itemID="{0092E684-A59A-4104-A123-0A01CF8CC963}">
  <ds:schemaRefs/>
</ds:datastoreItem>
</file>

<file path=customXml/itemProps13.xml><?xml version="1.0" encoding="utf-8"?>
<ds:datastoreItem xmlns:ds="http://schemas.openxmlformats.org/officeDocument/2006/customXml" ds:itemID="{A9D16D73-DF80-4591-8AB4-5AF50CD0432F}">
  <ds:schemaRefs/>
</ds:datastoreItem>
</file>

<file path=customXml/itemProps14.xml><?xml version="1.0" encoding="utf-8"?>
<ds:datastoreItem xmlns:ds="http://schemas.openxmlformats.org/officeDocument/2006/customXml" ds:itemID="{AD81E317-133D-4269-AD8E-F0B60817F787}">
  <ds:schemaRefs/>
</ds:datastoreItem>
</file>

<file path=customXml/itemProps15.xml><?xml version="1.0" encoding="utf-8"?>
<ds:datastoreItem xmlns:ds="http://schemas.openxmlformats.org/officeDocument/2006/customXml" ds:itemID="{D64D6004-3341-4A3E-9E9C-36B8575C55A5}">
  <ds:schemaRefs>
    <ds:schemaRef ds:uri="http://www.w3.org/2001/XMLSchema"/>
    <ds:schemaRef ds:uri="http://microsoft.data.visualization.Client.Excel/1.0"/>
  </ds:schemaRefs>
</ds:datastoreItem>
</file>

<file path=customXml/itemProps16.xml><?xml version="1.0" encoding="utf-8"?>
<ds:datastoreItem xmlns:ds="http://schemas.openxmlformats.org/officeDocument/2006/customXml" ds:itemID="{B51FFAB7-8A72-460A-905A-E4369F52DD03}">
  <ds:schemaRefs/>
</ds:datastoreItem>
</file>

<file path=customXml/itemProps17.xml><?xml version="1.0" encoding="utf-8"?>
<ds:datastoreItem xmlns:ds="http://schemas.openxmlformats.org/officeDocument/2006/customXml" ds:itemID="{8D614C0A-C1D5-4131-B799-8087D62F9D8C}">
  <ds:schemaRefs/>
</ds:datastoreItem>
</file>

<file path=customXml/itemProps18.xml><?xml version="1.0" encoding="utf-8"?>
<ds:datastoreItem xmlns:ds="http://schemas.openxmlformats.org/officeDocument/2006/customXml" ds:itemID="{AEAAFECA-2DE4-4B02-AD25-A0FB5A56E772}">
  <ds:schemaRefs/>
</ds:datastoreItem>
</file>

<file path=customXml/itemProps19.xml><?xml version="1.0" encoding="utf-8"?>
<ds:datastoreItem xmlns:ds="http://schemas.openxmlformats.org/officeDocument/2006/customXml" ds:itemID="{EA216088-64F2-4B38-88C8-2BB51C84CDE2}">
  <ds:schemaRefs/>
</ds:datastoreItem>
</file>

<file path=customXml/itemProps20.xml><?xml version="1.0" encoding="utf-8"?>
<ds:datastoreItem xmlns:ds="http://schemas.openxmlformats.org/officeDocument/2006/customXml" ds:itemID="{128FA301-7D1C-4CE5-9BAC-0667069BBF2E}">
  <ds:schemaRefs>
    <ds:schemaRef ds:uri="http://www.w3.org/2001/XMLSchema"/>
    <ds:schemaRef ds:uri="http://microsoft.data.visualization.engine.tours/1.0"/>
  </ds:schemaRefs>
</ds:datastoreItem>
</file>

<file path=customXml/itemProps21.xml><?xml version="1.0" encoding="utf-8"?>
<ds:datastoreItem xmlns:ds="http://schemas.openxmlformats.org/officeDocument/2006/customXml" ds:itemID="{D1CDC618-B7E4-42ED-9136-887556D3E8F6}">
  <ds:schemaRefs/>
</ds:datastoreItem>
</file>

<file path=customXml/itemProps22.xml><?xml version="1.0" encoding="utf-8"?>
<ds:datastoreItem xmlns:ds="http://schemas.openxmlformats.org/officeDocument/2006/customXml" ds:itemID="{F983B97C-63D1-4E74-B3D4-7D94D857A8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pivot table</vt:lpstr>
      <vt:lpstr>trades</vt:lpstr>
      <vt:lpstr>traders</vt:lpstr>
      <vt:lpstr>client </vt:lpstr>
      <vt:lpstr>productname</vt:lpstr>
      <vt:lpstr>invoice</vt:lpstr>
      <vt:lpstr>salesman</vt:lpstr>
      <vt:lpstr>Sheet1</vt:lpstr>
      <vt:lpstr>products</vt:lpstr>
      <vt:lpstr>dashboard</vt:lpstr>
      <vt:lpstr>pivot table sales</vt:lpstr>
      <vt:lpstr>data raw sales</vt:lpstr>
      <vt:lpstr>conditional</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THINKPAD</cp:lastModifiedBy>
  <dcterms:created xsi:type="dcterms:W3CDTF">2026-10-03T21:23:01Z</dcterms:created>
  <dcterms:modified xsi:type="dcterms:W3CDTF">2026-10-13T20:42:52Z</dcterms:modified>
</cp:coreProperties>
</file>