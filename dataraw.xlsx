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9A041F9D-69EC-4581-9308-1E718A1AE5BE}" xr6:coauthVersionLast="47" xr6:coauthVersionMax="47" xr10:uidLastSave="{00000000-0000-0000-0000-000000000000}"/>
  <bookViews>
    <workbookView xWindow="-108" yWindow="-108" windowWidth="23256" windowHeight="12456" activeTab="4" xr2:uid="{29389193-7256-4448-99EA-708D1049F25F}"/>
  </bookViews>
  <sheets>
    <sheet name="DASHBOARD" sheetId="15" r:id="rId1"/>
    <sheet name="charts" sheetId="16" r:id="rId2"/>
    <sheet name="PIVOT" sheetId="14" r:id="rId3"/>
    <sheet name="table data" sheetId="12" r:id="rId4"/>
    <sheet name="dataraw_1" sheetId="17" r:id="rId5"/>
    <sheet name="trading_raw_data2" sheetId="1" r:id="rId6"/>
  </sheets>
  <definedNames>
    <definedName name="_xlchart.v1.0" hidden="1">charts!$AG$7:$AG$10</definedName>
    <definedName name="_xlchart.v1.1" hidden="1">charts!$AH$7:$AH$10</definedName>
    <definedName name="_xlchart.v1.2" hidden="1">charts!$AZ$7</definedName>
    <definedName name="_xlchart.v1.3" hidden="1">charts!$AZ$8:$AZ$19</definedName>
    <definedName name="ExternalData_1" localSheetId="4" hidden="1">dataraw_1!$A$1:$K$101</definedName>
    <definedName name="ExternalData_1" localSheetId="3" hidden="1">'table data'!$A$1:$K$101</definedName>
    <definedName name="Slicer_Pair">#N/A</definedName>
    <definedName name="Slicer_Sess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Z21" i="16" l="1"/>
  <c r="AZ20" i="16"/>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76B603C0-C72D-4CE0-95A7-3C4DF0208711}" keepAlive="1" name="Query - dataraw_1" description="Connection to the 'dataraw_1' query in the workbook." type="5" refreshedVersion="8" background="1" saveData="1">
    <dbPr connection="Provider=Microsoft.Mashup.OleDb.1;Data Source=$Workbook$;Location=dataraw_1;Extended Properties=&quot;&quot;" command="SELECT * FROM [dataraw_1]"/>
  </connection>
  <connection id="3"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s>
</file>

<file path=xl/sharedStrings.xml><?xml version="1.0" encoding="utf-8"?>
<sst xmlns="http://schemas.openxmlformats.org/spreadsheetml/2006/main" count="1488" uniqueCount="61">
  <si>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</si>
  <si>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</si>
  <si>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</si>
  <si>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</si>
  <si>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</si>
  <si>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</si>
  <si>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</si>
  <si>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</si>
  <si>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</si>
  <si>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</si>
  <si>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</si>
  <si>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</si>
  <si>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</si>
  <si>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</si>
  <si>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</si>
  <si>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</si>
  <si>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</si>
  <si>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</si>
  <si>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</si>
  <si>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</si>
  <si>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</si>
  <si>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</si>
  <si>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</si>
  <si>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</si>
  <si>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</si>
  <si>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</si>
  <si>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</si>
  <si>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</si>
  <si>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</si>
  <si>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</si>
  <si>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</si>
  <si>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</si>
  <si>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</si>
  <si>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</si>
  <si>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</si>
  <si>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</si>
  <si>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</si>
  <si>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</si>
  <si>
    <t>rr</t>
  </si>
  <si>
    <t>consitency</t>
  </si>
  <si>
    <t>sl</t>
  </si>
  <si>
    <t>wn</t>
  </si>
  <si>
    <t>metric</t>
  </si>
  <si>
    <t>porcentage</t>
  </si>
  <si>
    <t>chhal kyachriw glas mo9abil 7arar</t>
  </si>
  <si>
    <t>7arar</t>
  </si>
  <si>
    <t>glass</t>
  </si>
  <si>
    <t>breakeven</t>
  </si>
  <si>
    <t>move tp</t>
  </si>
  <si>
    <t>closs</t>
  </si>
  <si>
    <t>PARETO CHART</t>
  </si>
  <si>
    <t>tasaro3</t>
  </si>
  <si>
    <t>entry khayba</t>
  </si>
  <si>
    <t>stop los khayba</t>
  </si>
  <si>
    <t>nsayn risk</t>
  </si>
  <si>
    <t>mahckil</t>
  </si>
  <si>
    <t>chhal kayt3awdo</t>
  </si>
  <si>
    <t>result</t>
  </si>
  <si>
    <t>box and wisker</t>
  </si>
  <si>
    <t>median</t>
  </si>
  <si>
    <t>average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</si>
</sst>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
      <patternFill patternType="solid">
        <fgColor theme="4" tint="0.39997558519241921"/>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xf numFmtId="0" fontId="0" fillId="0" borderId="10" xfId="0" applyBorder="1" applyAlignment="1">
      <alignment horizontal="center"/>
    </xf>
    <xf numFmtId="0" fontId="18" fillId="0" borderId="10" xfId="0" applyFont="1" applyBorder="1" applyAlignment="1">
      <alignment horizontal="center"/>
    </xf>
    <xf numFmtId="0" fontId="16" fillId="36" borderId="10" xfId="0" applyFont="1" applyFill="1" applyBorder="1"/>
    <xf numFmtId="0" fontId="16" fillId="36" borderId="10" xfId="0" applyFont="1" applyFill="1" applyBorder="1" applyAlignment="1">
      <alignment horizontal="center"/>
    </xf>
    <xf numFmtId="0" fontId="0" fillId="0" borderId="11" xfId="0" applyFill="1" applyBorder="1" applyAlignment="1">
      <alignment horizontal="center"/>
    </xf>
    <xf numFmtId="0" fontId="0" fillId="0" borderId="0" xfId="0"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numFmt numFmtId="0" formatCode="General"/>
    </dxf>
    <dxf>
      <numFmt numFmtId="0" formatCode="General"/>
    </dxf>
    <dxf>
      <numFmt numFmtId="0" formatCode="General"/>
    </dxf>
    <dxf>
      <numFmt numFmtId="0" formatCode="General"/>
    </dxf>
    <dxf>
      <numFmt numFmtId="0" formatCode="General"/>
    </dxf>
    <dxf>
      <numFmt numFmtId="19" formatCode="m/d/yyyy"/>
    </dxf>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charts!$N$4</c:f>
              <c:strCache>
                <c:ptCount val="1"/>
                <c:pt idx="0">
                  <c:v>porcentage</c:v>
                </c:pt>
              </c:strCache>
            </c:strRef>
          </c:tx>
          <c:spPr>
            <a:ln w="28575" cap="rnd">
              <a:solidFill>
                <a:schemeClr val="accent3">
                  <a:lumMod val="60000"/>
                  <a:lumOff val="40000"/>
                </a:schemeClr>
              </a:solidFill>
              <a:round/>
            </a:ln>
            <a:effectLst/>
          </c:spPr>
          <c:marker>
            <c:symbol val="none"/>
          </c:marker>
          <c:cat>
            <c:strRef>
              <c:f>charts!$M$5:$M$8</c:f>
              <c:strCache>
                <c:ptCount val="4"/>
                <c:pt idx="0">
                  <c:v>rr</c:v>
                </c:pt>
                <c:pt idx="1">
                  <c:v>consitency</c:v>
                </c:pt>
                <c:pt idx="2">
                  <c:v>sl</c:v>
                </c:pt>
                <c:pt idx="3">
                  <c:v>wn</c:v>
                </c:pt>
              </c:strCache>
            </c:strRef>
          </c:cat>
          <c:val>
            <c:numRef>
              <c:f>charts!$N$5:$N$8</c:f>
              <c:numCache>
                <c:formatCode>General</c:formatCode>
                <c:ptCount val="4"/>
                <c:pt idx="0">
                  <c:v>100</c:v>
                </c:pt>
                <c:pt idx="1">
                  <c:v>54</c:v>
                </c:pt>
                <c:pt idx="2">
                  <c:v>100</c:v>
                </c:pt>
                <c:pt idx="3">
                  <c:v>60</c:v>
                </c:pt>
              </c:numCache>
            </c:numRef>
          </c:val>
          <c:extLst>
            <c:ext xmlns:c16="http://schemas.microsoft.com/office/drawing/2014/chart" uri="{C3380CC4-5D6E-409C-BE32-E72D297353CC}">
              <c16:uniqueId val="{00000000-6E9A-46E0-9D3E-451F7A5753E0}"/>
            </c:ext>
          </c:extLst>
        </c:ser>
        <c:dLbls>
          <c:showLegendKey val="0"/>
          <c:showVal val="0"/>
          <c:showCatName val="0"/>
          <c:showSerName val="0"/>
          <c:showPercent val="0"/>
          <c:showBubbleSize val="0"/>
        </c:dLbls>
        <c:axId val="59812800"/>
        <c:axId val="119017552"/>
      </c:radarChart>
      <c:catAx>
        <c:axId val="59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accent3">
                    <a:lumMod val="75000"/>
                  </a:schemeClr>
                </a:solidFill>
                <a:latin typeface="+mn-lt"/>
                <a:ea typeface="+mn-ea"/>
                <a:cs typeface="+mn-cs"/>
              </a:defRPr>
            </a:pPr>
            <a:endParaRPr lang="en-US"/>
          </a:p>
        </c:txPr>
        <c:crossAx val="119017552"/>
        <c:crosses val="autoZero"/>
        <c:auto val="1"/>
        <c:lblAlgn val="ctr"/>
        <c:lblOffset val="100"/>
        <c:noMultiLvlLbl val="0"/>
      </c:catAx>
      <c:valAx>
        <c:axId val="1190175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scatter</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spPr>
            <a:solidFill>
              <a:schemeClr val="accent1"/>
            </a:solidFill>
            <a:ln w="38100">
              <a:noFill/>
            </a:ln>
            <a:effectLst/>
          </c:spPr>
          <c:invertIfNegative val="0"/>
          <c:trendline>
            <c:spPr>
              <a:ln w="19050" cap="rnd">
                <a:solidFill>
                  <a:schemeClr val="accent1"/>
                </a:solidFill>
                <a:prstDash val="sysDot"/>
              </a:ln>
              <a:effectLst/>
            </c:spPr>
            <c:trendlineType val="linear"/>
            <c:dispRSqr val="0"/>
            <c:dispEq val="0"/>
          </c:trendline>
          <c:xVal>
            <c:numRef>
              <c:f>charts!$U$8:$U$14</c:f>
              <c:numCache>
                <c:formatCode>General</c:formatCode>
                <c:ptCount val="7"/>
                <c:pt idx="0">
                  <c:v>10</c:v>
                </c:pt>
                <c:pt idx="1">
                  <c:v>12</c:v>
                </c:pt>
                <c:pt idx="2">
                  <c:v>14</c:v>
                </c:pt>
                <c:pt idx="3">
                  <c:v>17</c:v>
                </c:pt>
                <c:pt idx="4">
                  <c:v>20</c:v>
                </c:pt>
                <c:pt idx="5">
                  <c:v>24</c:v>
                </c:pt>
                <c:pt idx="6">
                  <c:v>29</c:v>
                </c:pt>
              </c:numCache>
            </c:numRef>
          </c:xVal>
          <c:yVal>
            <c:numRef>
              <c:f>charts!$V$8:$V$14</c:f>
              <c:numCache>
                <c:formatCode>General</c:formatCode>
                <c:ptCount val="7"/>
                <c:pt idx="0">
                  <c:v>189</c:v>
                </c:pt>
                <c:pt idx="1">
                  <c:v>190</c:v>
                </c:pt>
                <c:pt idx="2">
                  <c:v>199</c:v>
                </c:pt>
                <c:pt idx="3">
                  <c:v>203</c:v>
                </c:pt>
                <c:pt idx="4">
                  <c:v>233</c:v>
                </c:pt>
                <c:pt idx="5">
                  <c:v>300</c:v>
                </c:pt>
                <c:pt idx="6">
                  <c:v>379</c:v>
                </c:pt>
              </c:numCache>
            </c:numRef>
          </c:yVal>
          <c:bubbleSize>
            <c:numLit>
              <c:formatCode>General</c:formatCode>
              <c:ptCount val="7"/>
              <c:pt idx="0">
                <c:v>1</c:v>
              </c:pt>
              <c:pt idx="1">
                <c:v>1</c:v>
              </c:pt>
              <c:pt idx="2">
                <c:v>1</c:v>
              </c:pt>
              <c:pt idx="3">
                <c:v>1</c:v>
              </c:pt>
              <c:pt idx="4">
                <c:v>1</c:v>
              </c:pt>
              <c:pt idx="5">
                <c:v>1</c:v>
              </c:pt>
              <c:pt idx="6">
                <c:v>1</c:v>
              </c:pt>
            </c:numLit>
          </c:bubbleSize>
          <c:bubble3D val="0"/>
          <c:extLst>
            <c:ext xmlns:c16="http://schemas.microsoft.com/office/drawing/2014/chart" uri="{C3380CC4-5D6E-409C-BE32-E72D297353CC}">
              <c16:uniqueId val="{00000000-3B3C-44A3-AF1D-BFA074AB5702}"/>
            </c:ext>
          </c:extLst>
        </c:ser>
        <c:dLbls>
          <c:showLegendKey val="0"/>
          <c:showVal val="0"/>
          <c:showCatName val="0"/>
          <c:showSerName val="0"/>
          <c:showPercent val="0"/>
          <c:showBubbleSize val="0"/>
        </c:dLbls>
        <c:bubbleScale val="100"/>
        <c:showNegBubbles val="0"/>
        <c:axId val="131475120"/>
        <c:axId val="131475600"/>
      </c:bubbleChart>
      <c:valAx>
        <c:axId val="13147512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600"/>
        <c:crosses val="autoZero"/>
        <c:crossBetween val="midCat"/>
      </c:valAx>
      <c:valAx>
        <c:axId val="131475600"/>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120"/>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ofPieChart>
        <c:ofPieType val="bar"/>
        <c:varyColors val="1"/>
        <c:ser>
          <c:idx val="0"/>
          <c:order val="0"/>
          <c:tx>
            <c:strRef>
              <c:f>charts!$AT$6</c:f>
              <c:strCache>
                <c:ptCount val="1"/>
                <c:pt idx="0">
                  <c:v>chhal kayt3awdo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AF8-408B-91D4-7801FE7C2D1A}"/>
              </c:ext>
            </c:extLst>
          </c:dPt>
          <c:dPt>
            <c:idx val="1"/>
            <c:bubble3D val="0"/>
            <c:explosion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960-4023-9175-4B99FFC653D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AF8-408B-91D4-7801FE7C2D1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AF8-408B-91D4-7801FE7C2D1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DAF8-408B-91D4-7801FE7C2D1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extLst>
          </c:dLbls>
          <c:cat>
            <c:strRef>
              <c:f>charts!$AS$7:$AS$10</c:f>
              <c:strCache>
                <c:ptCount val="4"/>
                <c:pt idx="0">
                  <c:v>tasaro3</c:v>
                </c:pt>
                <c:pt idx="1">
                  <c:v>entry khayba</c:v>
                </c:pt>
                <c:pt idx="2">
                  <c:v>stop los khayba</c:v>
                </c:pt>
                <c:pt idx="3">
                  <c:v>nsayn risk</c:v>
                </c:pt>
              </c:strCache>
            </c:strRef>
          </c:cat>
          <c:val>
            <c:numRef>
              <c:f>charts!$AT$7:$AT$10</c:f>
              <c:numCache>
                <c:formatCode>General</c:formatCode>
                <c:ptCount val="4"/>
                <c:pt idx="0">
                  <c:v>4</c:v>
                </c:pt>
                <c:pt idx="1">
                  <c:v>7</c:v>
                </c:pt>
                <c:pt idx="2">
                  <c:v>8</c:v>
                </c:pt>
                <c:pt idx="3">
                  <c:v>2</c:v>
                </c:pt>
              </c:numCache>
            </c:numRef>
          </c:val>
          <c:extLst>
            <c:ext xmlns:c16="http://schemas.microsoft.com/office/drawing/2014/chart" uri="{C3380CC4-5D6E-409C-BE32-E72D297353CC}">
              <c16:uniqueId val="{00000000-9960-4023-9175-4B99FFC653D5}"/>
            </c:ext>
          </c:extLst>
        </c:ser>
        <c:dLbls>
          <c:dLblPos val="inEnd"/>
          <c:showLegendKey val="0"/>
          <c:showVal val="0"/>
          <c:showCatName val="1"/>
          <c:showSerName val="0"/>
          <c:showPercent val="0"/>
          <c:showBubbleSize val="0"/>
          <c:showLeaderLines val="0"/>
        </c:dLbls>
        <c:gapWidth val="310"/>
        <c:secondPieSize val="66"/>
        <c:serLines>
          <c:spPr>
            <a:ln w="9525" cap="flat" cmpd="sng" algn="ctr">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asbab</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asbab</a:t>
          </a:r>
        </a:p>
      </cx:txPr>
    </cx:title>
    <cx:plotArea>
      <cx:plotAreaRegion>
        <cx:series layoutId="clusteredColumn" uniqueId="{E96AF6F9-E978-47FC-B64A-E146AFB68A9F}">
          <cx:spPr>
            <a:solidFill>
              <a:srgbClr val="FF0000"/>
            </a:solidFill>
            <a:ln w="0" cap="rnd">
              <a:solidFill>
                <a:schemeClr val="accent1"/>
              </a:solidFill>
            </a:ln>
          </cx:spPr>
          <cx:dataId val="0"/>
          <cx:layoutPr>
            <cx:aggregation/>
          </cx:layoutPr>
          <cx:axisId val="1"/>
        </cx:series>
        <cx:series layoutId="paretoLine" ownerIdx="0" uniqueId="{C3409FCB-C813-44BB-A341-4EB0072B093C}">
          <cx:spPr>
            <a:ln>
              <a:solidFill>
                <a:schemeClr val="tx1"/>
              </a:solidFill>
            </a:ln>
          </cx:spPr>
          <cx:axisId val="2"/>
        </cx:series>
      </cx:plotAreaRegion>
      <cx:axis id="0">
        <cx:catScaling gapWidth="0.75"/>
        <cx:majorTickMarks type="out"/>
        <cx:minorTickMarks type="in"/>
        <cx:tickLabels/>
        <cx:numFmt formatCode="@" sourceLinked="0"/>
        <cx:spPr>
          <a:ln w="15875" cmpd="tri">
            <a:solidFill>
              <a:schemeClr val="tx1">
                <a:lumMod val="95000"/>
                <a:lumOff val="5000"/>
              </a:schemeClr>
            </a:solidFill>
          </a:ln>
        </cx:spPr>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ckLabels/>
      </cx:axis>
      <cx:axis id="2">
        <cx:valScaling max="1" min="0"/>
        <cx:units unit="percentage"/>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plotArea>
      <cx:plotAreaRegion>
        <cx:series layoutId="boxWhisker" uniqueId="{C71DBB1C-AB3E-42DB-B2BD-395DAF4DEF64}">
          <cx:tx>
            <cx:txData>
              <cx:f>_xlchart.v1.2</cx:f>
              <cx:v>result</cx:v>
            </cx:txData>
          </cx:tx>
          <cx:dataLabels pos="l">
            <cx:txPr>
              <a:bodyPr spcFirstLastPara="1" vertOverflow="ellipsis" horzOverflow="overflow" wrap="square" lIns="0" tIns="0" rIns="0" bIns="0" anchor="ctr" anchorCtr="1"/>
              <a:lstStyle/>
              <a:p>
                <a:pPr algn="ctr" rtl="0">
                  <a:defRPr>
                    <a:solidFill>
                      <a:schemeClr val="accent5">
                        <a:lumMod val="60000"/>
                        <a:lumOff val="40000"/>
                      </a:schemeClr>
                    </a:solidFill>
                  </a:defRPr>
                </a:pPr>
                <a:endParaRPr lang="en-US" sz="900" b="0" i="0" u="none" strike="noStrike" baseline="0">
                  <a:solidFill>
                    <a:schemeClr val="accent5">
                      <a:lumMod val="60000"/>
                      <a:lumOff val="40000"/>
                    </a:schemeClr>
                  </a:solidFill>
                  <a:latin typeface="Aptos Narrow" panose="02110004020202020204"/>
                </a:endParaRPr>
              </a:p>
            </cx:txPr>
            <cx:visibility seriesName="0" categoryName="0" value="1"/>
            <cx:separator>, </cx:separator>
          </cx:dataLabels>
          <cx:dataId val="0"/>
          <cx:layoutPr>
            <cx:visibility meanLine="0" meanMarker="1" nonoutliers="0" outliers="1"/>
            <cx:statistics quartileMethod="inclusive"/>
          </cx:layoutPr>
        </cx:series>
      </cx:plotAreaRegion>
      <cx:axis id="0">
        <cx:catScaling gapWidth="1.25999999"/>
        <cx:tickLabels/>
      </cx:axis>
      <cx:axis id="1">
        <cx:valScaling max="789"/>
        <cx:majorGridlines/>
        <cx:majorTickMarks type="in"/>
        <cx:minorTickMarks type="in"/>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6" Type="http://schemas.microsoft.com/office/2014/relationships/chartEx" Target="../charts/chartEx2.xml"/><Relationship Id="rId5" Type="http://schemas.openxmlformats.org/officeDocument/2006/relationships/chart" Target="../charts/chart7.xml"/><Relationship Id="rId4"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9</xdr:row>
      <xdr:rowOff>129540</xdr:rowOff>
    </xdr:from>
    <xdr:to>
      <xdr:col>16</xdr:col>
      <xdr:colOff>358140</xdr:colOff>
      <xdr:row>21</xdr:row>
      <xdr:rowOff>38100</xdr:rowOff>
    </xdr:to>
    <xdr:graphicFrame macro="">
      <xdr:nvGraphicFramePr>
        <xdr:cNvPr id="4" name="Chart 3">
          <a:extLst>
            <a:ext uri="{FF2B5EF4-FFF2-40B4-BE49-F238E27FC236}">
              <a16:creationId xmlns:a16="http://schemas.microsoft.com/office/drawing/2014/main" id="{A06DB9CF-E6A8-4D35-126C-D432CCA1D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373380</xdr:colOff>
      <xdr:row>5</xdr:row>
      <xdr:rowOff>106680</xdr:rowOff>
    </xdr:from>
    <xdr:to>
      <xdr:col>30</xdr:col>
      <xdr:colOff>251460</xdr:colOff>
      <xdr:row>22</xdr:row>
      <xdr:rowOff>60960</xdr:rowOff>
    </xdr:to>
    <xdr:graphicFrame macro="">
      <xdr:nvGraphicFramePr>
        <xdr:cNvPr id="5" name="Chart 4">
          <a:extLst>
            <a:ext uri="{FF2B5EF4-FFF2-40B4-BE49-F238E27FC236}">
              <a16:creationId xmlns:a16="http://schemas.microsoft.com/office/drawing/2014/main" id="{871B9890-1CFB-E725-7A08-8B9B8ECB0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281940</xdr:colOff>
      <xdr:row>5</xdr:row>
      <xdr:rowOff>53340</xdr:rowOff>
    </xdr:from>
    <xdr:to>
      <xdr:col>41</xdr:col>
      <xdr:colOff>586740</xdr:colOff>
      <xdr:row>20</xdr:row>
      <xdr:rowOff>7620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EA802AC4-CC92-FF30-FB40-04BF07A646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1358860" y="96774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42</xdr:col>
      <xdr:colOff>449579</xdr:colOff>
      <xdr:row>11</xdr:row>
      <xdr:rowOff>22856</xdr:rowOff>
    </xdr:from>
    <xdr:to>
      <xdr:col>48</xdr:col>
      <xdr:colOff>411479</xdr:colOff>
      <xdr:row>24</xdr:row>
      <xdr:rowOff>121154</xdr:rowOff>
    </xdr:to>
    <xdr:graphicFrame macro="">
      <xdr:nvGraphicFramePr>
        <xdr:cNvPr id="2" name="Chart 1">
          <a:extLst>
            <a:ext uri="{FF2B5EF4-FFF2-40B4-BE49-F238E27FC236}">
              <a16:creationId xmlns:a16="http://schemas.microsoft.com/office/drawing/2014/main" id="{048B8A86-4F5B-E0C3-6980-C4872D81D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54</xdr:col>
      <xdr:colOff>381000</xdr:colOff>
      <xdr:row>0</xdr:row>
      <xdr:rowOff>0</xdr:rowOff>
    </xdr:from>
    <xdr:to>
      <xdr:col>60</xdr:col>
      <xdr:colOff>121920</xdr:colOff>
      <xdr:row>24</xdr:row>
      <xdr:rowOff>30480</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1F51477F-15F2-00AA-C20C-6D5F65F977D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4328100" y="0"/>
              <a:ext cx="3398520" cy="446532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x v="0"/>
    <s v="Buy"/>
    <n v="600"/>
    <n v="3"/>
    <s v="GOOD"/>
    <n v="200"/>
    <s v="Win"/>
    <d v="2026-05-22T00:00:00"/>
  </r>
  <r>
    <n v="80"/>
    <n v="10006"/>
    <x v="0"/>
    <x v="0"/>
    <s v="Sell"/>
    <n v="600"/>
    <n v="3"/>
    <s v="GOOD"/>
    <n v="200"/>
    <s v="Win"/>
    <d v="2026-05-29T00:00:00"/>
  </r>
  <r>
    <n v="16"/>
    <n v="10006"/>
    <x v="0"/>
    <x v="1"/>
    <s v="Sell"/>
    <n v="500"/>
    <n v="2"/>
    <s v="GOOD"/>
    <n v="250"/>
    <s v="Win"/>
    <d v="2026-05-26T00:00:00"/>
  </r>
  <r>
    <n v="78"/>
    <n v="10001"/>
    <x v="0"/>
    <x v="1"/>
    <s v="Sell"/>
    <n v="500"/>
    <n v="2"/>
    <s v="GOOD"/>
    <n v="250"/>
    <s v="Win"/>
    <d v="2026-06-09T00:00:00"/>
  </r>
  <r>
    <n v="35"/>
    <n v="10005"/>
    <x v="0"/>
    <x v="1"/>
    <s v="Buy"/>
    <n v="375"/>
    <n v="1.5"/>
    <s v="REVIEW"/>
    <n v="250"/>
    <s v="Win"/>
    <d v="2026-01-19T00:00:00"/>
  </r>
  <r>
    <n v="45"/>
    <n v="10003"/>
    <x v="0"/>
    <x v="1"/>
    <s v="Buy"/>
    <n v="375"/>
    <n v="1.5"/>
    <s v="REVIEW"/>
    <n v="250"/>
    <s v="Win"/>
    <d v="2026-02-02T00:00:00"/>
  </r>
  <r>
    <n v="43"/>
    <n v="10003"/>
    <x v="0"/>
    <x v="1"/>
    <s v="Sell"/>
    <n v="200"/>
    <n v="2"/>
    <s v="GOOD"/>
    <n v="100"/>
    <s v="Win"/>
    <d v="2026-03-10T00:00:00"/>
  </r>
  <r>
    <n v="77"/>
    <n v="10006"/>
    <x v="0"/>
    <x v="1"/>
    <s v="Sell"/>
    <n v="200"/>
    <n v="2"/>
    <s v="GOOD"/>
    <n v="100"/>
    <s v="Win"/>
    <d v="2026-06-25T00:00:00"/>
  </r>
  <r>
    <n v="99"/>
    <n v="10006"/>
    <x v="0"/>
    <x v="1"/>
    <s v="Sell"/>
    <n v="125"/>
    <n v="2.5"/>
    <s v="GOOD"/>
    <n v="50"/>
    <s v="Win"/>
    <d v="2026-03-20T00:00:00"/>
  </r>
  <r>
    <n v="97"/>
    <n v="10006"/>
    <x v="0"/>
    <x v="1"/>
    <s v="Buy"/>
    <n v="100"/>
    <n v="1"/>
    <s v="REVIEW"/>
    <n v="100"/>
    <s v="Win"/>
    <d v="2026-05-30T00:00:00"/>
  </r>
  <r>
    <n v="93"/>
    <n v="10004"/>
    <x v="0"/>
    <x v="0"/>
    <s v="Sell"/>
    <n v="75"/>
    <n v="1.5"/>
    <s v="REVIEW"/>
    <n v="50"/>
    <s v="Win"/>
    <d v="2026-01-31T00:00:00"/>
  </r>
  <r>
    <n v="1"/>
    <n v="10002"/>
    <x v="0"/>
    <x v="1"/>
    <s v="Sell"/>
    <n v="50"/>
    <n v="1"/>
    <s v="REVIEW"/>
    <n v="50"/>
    <s v="Win"/>
    <d v="2026-06-17T00:00:00"/>
  </r>
  <r>
    <n v="38"/>
    <n v="10005"/>
    <x v="0"/>
    <x v="1"/>
    <s v="Sell"/>
    <n v="-25"/>
    <n v="-0.5"/>
    <s v="REVIEW"/>
    <n v="50"/>
    <s v="Loss"/>
    <d v="2026-03-26T00:00:00"/>
  </r>
  <r>
    <n v="30"/>
    <n v="10001"/>
    <x v="0"/>
    <x v="1"/>
    <s v="Buy"/>
    <n v="-50"/>
    <n v="-0.5"/>
    <s v="REVIEW"/>
    <n v="100"/>
    <s v="Loss"/>
    <d v="2026-05-25T00:00:00"/>
  </r>
  <r>
    <n v="46"/>
    <n v="10001"/>
    <x v="0"/>
    <x v="0"/>
    <s v="Sell"/>
    <n v="-50"/>
    <n v="-0.5"/>
    <s v="REVIEW"/>
    <n v="100"/>
    <s v="Loss"/>
    <d v="2026-02-06T00:00:00"/>
  </r>
  <r>
    <n v="47"/>
    <n v="10005"/>
    <x v="0"/>
    <x v="0"/>
    <s v="Sell"/>
    <n v="-50"/>
    <n v="-0.5"/>
    <s v="REVIEW"/>
    <n v="100"/>
    <s v="Loss"/>
    <d v="2026-06-24T00:00:00"/>
  </r>
  <r>
    <n v="52"/>
    <n v="10005"/>
    <x v="0"/>
    <x v="0"/>
    <s v="Buy"/>
    <n v="-50"/>
    <n v="-1"/>
    <s v="REVIEW"/>
    <n v="50"/>
    <s v="Loss"/>
    <d v="2026-01-12T00:00:00"/>
  </r>
  <r>
    <n v="8"/>
    <n v="10004"/>
    <x v="0"/>
    <x v="0"/>
    <s v="Sell"/>
    <n v="-100"/>
    <n v="-1"/>
    <s v="REVIEW"/>
    <n v="100"/>
    <s v="Loss"/>
    <d v="2026-03-05T00:00:00"/>
  </r>
  <r>
    <n v="70"/>
    <n v="10004"/>
    <x v="0"/>
    <x v="0"/>
    <s v="Sell"/>
    <n v="-100"/>
    <n v="-1"/>
    <s v="REVIEW"/>
    <n v="100"/>
    <s v="Loss"/>
    <d v="2026-05-07T00:00:00"/>
  </r>
  <r>
    <n v="86"/>
    <n v="10002"/>
    <x v="0"/>
    <x v="1"/>
    <s v="Buy"/>
    <n v="-100"/>
    <n v="-1"/>
    <s v="REVIEW"/>
    <n v="100"/>
    <s v="Loss"/>
    <d v="2026-05-27T00:00:00"/>
  </r>
  <r>
    <n v="61"/>
    <n v="10005"/>
    <x v="0"/>
    <x v="1"/>
    <s v="Sell"/>
    <n v="-125"/>
    <n v="-0.5"/>
    <s v="REVIEW"/>
    <n v="250"/>
    <s v="Loss"/>
    <d v="2026-01-11T00:00:00"/>
  </r>
  <r>
    <n v="34"/>
    <n v="10005"/>
    <x v="0"/>
    <x v="1"/>
    <s v="Sell"/>
    <n v="-150"/>
    <n v="-1.5"/>
    <s v="REVIEW"/>
    <n v="100"/>
    <s v="Loss"/>
    <d v="2026-03-26T00:00:00"/>
  </r>
  <r>
    <n v="13"/>
    <n v="10006"/>
    <x v="1"/>
    <x v="1"/>
    <s v="Sell"/>
    <n v="750"/>
    <n v="3"/>
    <s v="GOOD"/>
    <n v="250"/>
    <s v="Win"/>
    <d v="2026-03-13T00:00:00"/>
  </r>
  <r>
    <n v="98"/>
    <n v="10001"/>
    <x v="1"/>
    <x v="1"/>
    <s v="Buy"/>
    <n v="750"/>
    <n v="3"/>
    <s v="GOOD"/>
    <n v="250"/>
    <s v="Win"/>
    <d v="2026-03-07T00:00:00"/>
  </r>
  <r>
    <n v="68"/>
    <n v="10004"/>
    <x v="1"/>
    <x v="1"/>
    <s v="Sell"/>
    <n v="625"/>
    <n v="2.5"/>
    <s v="GOOD"/>
    <n v="250"/>
    <s v="Win"/>
    <d v="2026-07-04T00:00:00"/>
  </r>
  <r>
    <n v="85"/>
    <n v="10003"/>
    <x v="1"/>
    <x v="0"/>
    <s v="Sell"/>
    <n v="600"/>
    <n v="3"/>
    <s v="GOOD"/>
    <n v="200"/>
    <s v="Win"/>
    <d v="2026-05-09T00:00:00"/>
  </r>
  <r>
    <n v="15"/>
    <n v="10004"/>
    <x v="1"/>
    <x v="0"/>
    <s v="Buy"/>
    <n v="500"/>
    <n v="2.5"/>
    <s v="GOOD"/>
    <n v="200"/>
    <s v="Win"/>
    <d v="2026-06-14T00:00:00"/>
  </r>
  <r>
    <n v="37"/>
    <n v="10003"/>
    <x v="1"/>
    <x v="0"/>
    <s v="Buy"/>
    <n v="500"/>
    <n v="2"/>
    <s v="GOOD"/>
    <n v="250"/>
    <s v="Win"/>
    <d v="2026-03-12T00:00:00"/>
  </r>
  <r>
    <n v="71"/>
    <n v="10004"/>
    <x v="1"/>
    <x v="0"/>
    <s v="Sell"/>
    <n v="500"/>
    <n v="2"/>
    <s v="GOOD"/>
    <n v="250"/>
    <s v="Win"/>
    <d v="2026-05-09T00:00:00"/>
  </r>
  <r>
    <n v="88"/>
    <n v="10004"/>
    <x v="1"/>
    <x v="0"/>
    <s v="Sell"/>
    <n v="500"/>
    <n v="2"/>
    <s v="GOOD"/>
    <n v="250"/>
    <s v="Win"/>
    <d v="2026-07-01T00:00:00"/>
  </r>
  <r>
    <n v="76"/>
    <n v="10005"/>
    <x v="1"/>
    <x v="1"/>
    <s v="Buy"/>
    <n v="375"/>
    <n v="1.5"/>
    <s v="REVIEW"/>
    <n v="250"/>
    <s v="Win"/>
    <d v="2026-01-12T00:00:00"/>
  </r>
  <r>
    <n v="92"/>
    <n v="10001"/>
    <x v="1"/>
    <x v="0"/>
    <s v="Buy"/>
    <n v="375"/>
    <n v="1.5"/>
    <s v="REVIEW"/>
    <n v="250"/>
    <s v="Win"/>
    <d v="2026-01-08T00:00:00"/>
  </r>
  <r>
    <n v="10"/>
    <n v="10004"/>
    <x v="1"/>
    <x v="1"/>
    <s v="Buy"/>
    <n v="300"/>
    <n v="3"/>
    <s v="GOOD"/>
    <n v="100"/>
    <s v="Win"/>
    <d v="2026-06-09T00:00:00"/>
  </r>
  <r>
    <n v="23"/>
    <n v="10003"/>
    <x v="1"/>
    <x v="1"/>
    <s v="Buy"/>
    <n v="300"/>
    <n v="3"/>
    <s v="GOOD"/>
    <n v="100"/>
    <s v="Win"/>
    <d v="2026-02-04T00:00:00"/>
  </r>
  <r>
    <n v="54"/>
    <n v="10006"/>
    <x v="1"/>
    <x v="0"/>
    <s v="Buy"/>
    <n v="300"/>
    <n v="3"/>
    <s v="GOOD"/>
    <n v="100"/>
    <s v="Win"/>
    <d v="2026-04-13T00:00:00"/>
  </r>
  <r>
    <n v="12"/>
    <n v="10006"/>
    <x v="1"/>
    <x v="0"/>
    <s v="Buy"/>
    <n v="250"/>
    <n v="2.5"/>
    <s v="GOOD"/>
    <n v="100"/>
    <s v="Win"/>
    <d v="2026-01-21T00:00:00"/>
  </r>
  <r>
    <n v="63"/>
    <n v="10001"/>
    <x v="1"/>
    <x v="1"/>
    <s v="Sell"/>
    <n v="250"/>
    <n v="1"/>
    <s v="REVIEW"/>
    <n v="250"/>
    <s v="Win"/>
    <d v="2026-04-23T00:00:00"/>
  </r>
  <r>
    <n v="95"/>
    <n v="10002"/>
    <x v="1"/>
    <x v="0"/>
    <s v="Buy"/>
    <n v="250"/>
    <n v="2.5"/>
    <s v="GOOD"/>
    <n v="100"/>
    <s v="Win"/>
    <d v="2026-02-12T00:00:00"/>
  </r>
  <r>
    <n v="84"/>
    <n v="10003"/>
    <x v="1"/>
    <x v="0"/>
    <s v="Sell"/>
    <n v="200"/>
    <n v="2"/>
    <s v="GOOD"/>
    <n v="100"/>
    <s v="Win"/>
    <d v="2026-04-30T00:00:00"/>
  </r>
  <r>
    <n v="33"/>
    <n v="10001"/>
    <x v="1"/>
    <x v="0"/>
    <s v="Buy"/>
    <n v="150"/>
    <n v="3"/>
    <s v="GOOD"/>
    <n v="50"/>
    <s v="Win"/>
    <d v="2026-02-13T00:00:00"/>
  </r>
  <r>
    <n v="100"/>
    <n v="10004"/>
    <x v="1"/>
    <x v="0"/>
    <s v="Buy"/>
    <n v="150"/>
    <n v="1.5"/>
    <s v="REVIEW"/>
    <n v="100"/>
    <s v="Win"/>
    <d v="2026-06-29T00:00:00"/>
  </r>
  <r>
    <n v="3"/>
    <n v="10004"/>
    <x v="1"/>
    <x v="0"/>
    <s v="Buy"/>
    <n v="100"/>
    <n v="1"/>
    <s v="REVIEW"/>
    <n v="100"/>
    <s v="Win"/>
    <d v="2026-05-28T00:00:00"/>
  </r>
  <r>
    <n v="7"/>
    <n v="10006"/>
    <x v="1"/>
    <x v="1"/>
    <s v="Buy"/>
    <n v="100"/>
    <n v="2"/>
    <s v="GOOD"/>
    <n v="50"/>
    <s v="Win"/>
    <d v="2026-06-01T00:00:00"/>
  </r>
  <r>
    <n v="20"/>
    <n v="10006"/>
    <x v="1"/>
    <x v="1"/>
    <s v="Buy"/>
    <n v="100"/>
    <n v="1"/>
    <s v="REVIEW"/>
    <n v="100"/>
    <s v="Win"/>
    <d v="2026-01-19T00:00:00"/>
  </r>
  <r>
    <n v="62"/>
    <n v="10004"/>
    <x v="1"/>
    <x v="0"/>
    <s v="Sell"/>
    <n v="50"/>
    <n v="1"/>
    <s v="REVIEW"/>
    <n v="50"/>
    <s v="Win"/>
    <d v="2026-04-21T00:00:00"/>
  </r>
  <r>
    <n v="24"/>
    <n v="10006"/>
    <x v="1"/>
    <x v="1"/>
    <s v="Buy"/>
    <n v="-25"/>
    <n v="-0.5"/>
    <s v="REVIEW"/>
    <n v="50"/>
    <s v="Loss"/>
    <d v="2026-06-04T00:00:00"/>
  </r>
  <r>
    <n v="14"/>
    <n v="10001"/>
    <x v="1"/>
    <x v="1"/>
    <s v="Sell"/>
    <n v="-50"/>
    <n v="-0.5"/>
    <s v="REVIEW"/>
    <n v="100"/>
    <s v="Loss"/>
    <d v="2026-04-07T00:00:00"/>
  </r>
  <r>
    <n v="49"/>
    <n v="10001"/>
    <x v="1"/>
    <x v="1"/>
    <s v="Sell"/>
    <n v="-50"/>
    <n v="-0.5"/>
    <s v="REVIEW"/>
    <n v="100"/>
    <s v="Loss"/>
    <d v="2026-03-14T00:00:00"/>
  </r>
  <r>
    <n v="79"/>
    <n v="10001"/>
    <x v="1"/>
    <x v="1"/>
    <s v="Buy"/>
    <n v="-50"/>
    <n v="-1"/>
    <s v="REVIEW"/>
    <n v="50"/>
    <s v="Loss"/>
    <d v="2026-04-16T00:00:00"/>
  </r>
  <r>
    <n v="40"/>
    <n v="10005"/>
    <x v="1"/>
    <x v="0"/>
    <s v="Sell"/>
    <n v="-75"/>
    <n v="-1.5"/>
    <s v="REVIEW"/>
    <n v="50"/>
    <s v="Loss"/>
    <d v="2026-03-18T00:00:00"/>
  </r>
  <r>
    <n v="39"/>
    <n v="10003"/>
    <x v="1"/>
    <x v="0"/>
    <s v="Buy"/>
    <n v="-100"/>
    <n v="-0.5"/>
    <s v="REVIEW"/>
    <n v="200"/>
    <s v="Loss"/>
    <d v="2026-05-22T00:00:00"/>
  </r>
  <r>
    <n v="29"/>
    <n v="10002"/>
    <x v="1"/>
    <x v="0"/>
    <s v="Sell"/>
    <n v="-125"/>
    <n v="-0.5"/>
    <s v="REVIEW"/>
    <n v="250"/>
    <s v="Loss"/>
    <d v="2026-04-23T00:00:00"/>
  </r>
  <r>
    <n v="69"/>
    <n v="10005"/>
    <x v="1"/>
    <x v="0"/>
    <s v="Sell"/>
    <n v="-125"/>
    <n v="-0.5"/>
    <s v="REVIEW"/>
    <n v="250"/>
    <s v="Loss"/>
    <d v="2026-01-20T00:00:00"/>
  </r>
  <r>
    <n v="22"/>
    <n v="10006"/>
    <x v="1"/>
    <x v="0"/>
    <s v="Sell"/>
    <n v="-250"/>
    <n v="-1"/>
    <s v="REVIEW"/>
    <n v="250"/>
    <s v="Loss"/>
    <d v="2026-05-23T00:00:00"/>
  </r>
  <r>
    <n v="36"/>
    <n v="10004"/>
    <x v="1"/>
    <x v="1"/>
    <s v="Buy"/>
    <n v="-300"/>
    <n v="-1.5"/>
    <s v="REVIEW"/>
    <n v="200"/>
    <s v="Loss"/>
    <d v="2026-02-04T00:00:00"/>
  </r>
  <r>
    <n v="32"/>
    <n v="10003"/>
    <x v="2"/>
    <x v="0"/>
    <s v="Sell"/>
    <n v="750"/>
    <n v="3"/>
    <s v="GOOD"/>
    <n v="250"/>
    <s v="Win"/>
    <d v="2026-01-05T00:00:00"/>
  </r>
  <r>
    <n v="73"/>
    <n v="10002"/>
    <x v="2"/>
    <x v="1"/>
    <s v="Sell"/>
    <n v="500"/>
    <n v="2.5"/>
    <s v="GOOD"/>
    <n v="200"/>
    <s v="Win"/>
    <d v="2026-06-18T00:00:00"/>
  </r>
  <r>
    <n v="74"/>
    <n v="10004"/>
    <x v="2"/>
    <x v="0"/>
    <s v="Sell"/>
    <n v="500"/>
    <n v="2.5"/>
    <s v="GOOD"/>
    <n v="200"/>
    <s v="Win"/>
    <d v="2026-02-28T00:00:00"/>
  </r>
  <r>
    <n v="87"/>
    <n v="10001"/>
    <x v="2"/>
    <x v="0"/>
    <s v="Sell"/>
    <n v="375"/>
    <n v="1.5"/>
    <s v="REVIEW"/>
    <n v="250"/>
    <s v="Win"/>
    <d v="2026-06-30T00:00:00"/>
  </r>
  <r>
    <n v="65"/>
    <n v="10004"/>
    <x v="2"/>
    <x v="1"/>
    <s v="Sell"/>
    <n v="300"/>
    <n v="1.5"/>
    <s v="REVIEW"/>
    <n v="200"/>
    <s v="Win"/>
    <d v="2026-05-25T00:00:00"/>
  </r>
  <r>
    <n v="26"/>
    <n v="10004"/>
    <x v="2"/>
    <x v="1"/>
    <s v="Sell"/>
    <n v="250"/>
    <n v="1"/>
    <s v="REVIEW"/>
    <n v="250"/>
    <s v="Win"/>
    <d v="2026-05-31T00:00:00"/>
  </r>
  <r>
    <n v="55"/>
    <n v="10005"/>
    <x v="2"/>
    <x v="1"/>
    <s v="Sell"/>
    <n v="200"/>
    <n v="1"/>
    <s v="REVIEW"/>
    <n v="200"/>
    <s v="Win"/>
    <d v="2026-04-08T00:00:00"/>
  </r>
  <r>
    <n v="59"/>
    <n v="10006"/>
    <x v="2"/>
    <x v="1"/>
    <s v="Sell"/>
    <n v="200"/>
    <n v="1"/>
    <s v="REVIEW"/>
    <n v="200"/>
    <s v="Win"/>
    <d v="2026-04-28T00:00:00"/>
  </r>
  <r>
    <n v="66"/>
    <n v="10004"/>
    <x v="2"/>
    <x v="1"/>
    <s v="Sell"/>
    <n v="200"/>
    <n v="2"/>
    <s v="GOOD"/>
    <n v="100"/>
    <s v="Win"/>
    <d v="2026-05-18T00:00:00"/>
  </r>
  <r>
    <n v="2"/>
    <n v="10001"/>
    <x v="2"/>
    <x v="1"/>
    <s v="Buy"/>
    <n v="150"/>
    <n v="3"/>
    <s v="GOOD"/>
    <n v="50"/>
    <s v="Win"/>
    <d v="2026-06-05T00:00:00"/>
  </r>
  <r>
    <n v="94"/>
    <n v="10004"/>
    <x v="2"/>
    <x v="1"/>
    <s v="Buy"/>
    <n v="150"/>
    <n v="3"/>
    <s v="GOOD"/>
    <n v="50"/>
    <s v="Win"/>
    <d v="2026-03-10T00:00:00"/>
  </r>
  <r>
    <n v="57"/>
    <n v="10005"/>
    <x v="2"/>
    <x v="0"/>
    <s v="Buy"/>
    <n v="125"/>
    <n v="2.5"/>
    <s v="GOOD"/>
    <n v="50"/>
    <s v="Win"/>
    <d v="2026-02-23T00:00:00"/>
  </r>
  <r>
    <n v="4"/>
    <n v="10002"/>
    <x v="2"/>
    <x v="0"/>
    <s v="Sell"/>
    <n v="100"/>
    <n v="2"/>
    <s v="GOOD"/>
    <n v="50"/>
    <s v="Win"/>
    <d v="2026-07-02T00:00:00"/>
  </r>
  <r>
    <n v="27"/>
    <n v="10006"/>
    <x v="2"/>
    <x v="0"/>
    <s v="Sell"/>
    <n v="50"/>
    <n v="1"/>
    <s v="REVIEW"/>
    <n v="50"/>
    <s v="Win"/>
    <d v="2026-04-05T00:00:00"/>
  </r>
  <r>
    <n v="72"/>
    <n v="10004"/>
    <x v="2"/>
    <x v="1"/>
    <s v="Buy"/>
    <n v="50"/>
    <n v="1"/>
    <s v="REVIEW"/>
    <n v="50"/>
    <s v="Win"/>
    <d v="2026-02-16T00:00:00"/>
  </r>
  <r>
    <n v="75"/>
    <n v="10003"/>
    <x v="2"/>
    <x v="1"/>
    <s v="Buy"/>
    <n v="50"/>
    <n v="1"/>
    <s v="REVIEW"/>
    <n v="50"/>
    <s v="Win"/>
    <d v="2026-01-25T00:00:00"/>
  </r>
  <r>
    <n v="17"/>
    <n v="10005"/>
    <x v="2"/>
    <x v="1"/>
    <s v="Sell"/>
    <n v="-75"/>
    <n v="-1.5"/>
    <s v="REVIEW"/>
    <n v="50"/>
    <s v="Loss"/>
    <d v="2026-02-14T00:00:00"/>
  </r>
  <r>
    <n v="53"/>
    <n v="10004"/>
    <x v="2"/>
    <x v="0"/>
    <s v="Sell"/>
    <n v="-75"/>
    <n v="-1.5"/>
    <s v="REVIEW"/>
    <n v="50"/>
    <s v="Loss"/>
    <d v="2026-02-01T00:00:00"/>
  </r>
  <r>
    <n v="21"/>
    <n v="10005"/>
    <x v="2"/>
    <x v="1"/>
    <s v="Sell"/>
    <n v="-100"/>
    <n v="-1"/>
    <s v="REVIEW"/>
    <n v="100"/>
    <s v="Loss"/>
    <d v="2026-02-06T00:00:00"/>
  </r>
  <r>
    <n v="48"/>
    <n v="10006"/>
    <x v="2"/>
    <x v="1"/>
    <s v="Buy"/>
    <n v="-100"/>
    <n v="-1"/>
    <s v="REVIEW"/>
    <n v="100"/>
    <s v="Loss"/>
    <d v="2026-02-19T00:00:00"/>
  </r>
  <r>
    <n v="83"/>
    <n v="10002"/>
    <x v="2"/>
    <x v="0"/>
    <s v="Sell"/>
    <n v="-100"/>
    <n v="-0.5"/>
    <s v="REVIEW"/>
    <n v="200"/>
    <s v="Loss"/>
    <d v="2026-05-04T00:00:00"/>
  </r>
  <r>
    <n v="5"/>
    <n v="10003"/>
    <x v="2"/>
    <x v="1"/>
    <s v="Sell"/>
    <n v="-125"/>
    <n v="-0.5"/>
    <s v="REVIEW"/>
    <n v="250"/>
    <s v="Loss"/>
    <d v="2026-01-28T00:00:00"/>
  </r>
  <r>
    <n v="31"/>
    <n v="10004"/>
    <x v="2"/>
    <x v="0"/>
    <s v="Buy"/>
    <n v="-125"/>
    <n v="-0.5"/>
    <s v="REVIEW"/>
    <n v="250"/>
    <s v="Loss"/>
    <d v="2026-04-19T00:00:00"/>
  </r>
  <r>
    <n v="96"/>
    <n v="10003"/>
    <x v="2"/>
    <x v="0"/>
    <s v="Sell"/>
    <n v="-200"/>
    <n v="-1"/>
    <s v="REVIEW"/>
    <n v="200"/>
    <s v="Loss"/>
    <d v="2026-05-18T00:00:00"/>
  </r>
  <r>
    <n v="64"/>
    <n v="10005"/>
    <x v="2"/>
    <x v="0"/>
    <s v="Sell"/>
    <n v="-375"/>
    <n v="-1.5"/>
    <s v="REVIEW"/>
    <n v="250"/>
    <s v="Loss"/>
    <d v="2026-02-08T00:00:00"/>
  </r>
  <r>
    <n v="81"/>
    <n v="10004"/>
    <x v="2"/>
    <x v="0"/>
    <s v="Buy"/>
    <n v="-375"/>
    <n v="-1.5"/>
    <s v="REVIEW"/>
    <n v="250"/>
    <s v="Loss"/>
    <d v="2026-01-08T00:00:00"/>
  </r>
  <r>
    <n v="82"/>
    <n v="10005"/>
    <x v="2"/>
    <x v="1"/>
    <s v="Sell"/>
    <n v="-375"/>
    <n v="-1.5"/>
    <s v="REVIEW"/>
    <n v="250"/>
    <s v="Loss"/>
    <d v="2026-02-13T00:00:00"/>
  </r>
  <r>
    <n v="90"/>
    <n v="10002"/>
    <x v="3"/>
    <x v="1"/>
    <s v="Buy"/>
    <n v="500"/>
    <n v="2.5"/>
    <s v="GOOD"/>
    <n v="200"/>
    <s v="Win"/>
    <d v="2026-02-23T00:00:00"/>
  </r>
  <r>
    <n v="50"/>
    <n v="10002"/>
    <x v="3"/>
    <x v="0"/>
    <s v="Buy"/>
    <n v="375"/>
    <n v="1.5"/>
    <s v="REVIEW"/>
    <n v="250"/>
    <s v="Win"/>
    <d v="2026-05-02T00:00:00"/>
  </r>
  <r>
    <n v="91"/>
    <n v="10003"/>
    <x v="3"/>
    <x v="1"/>
    <s v="Buy"/>
    <n v="300"/>
    <n v="1.5"/>
    <s v="REVIEW"/>
    <n v="200"/>
    <s v="Win"/>
    <d v="2026-06-04T00:00:00"/>
  </r>
  <r>
    <n v="28"/>
    <n v="10002"/>
    <x v="3"/>
    <x v="1"/>
    <s v="Buy"/>
    <n v="250"/>
    <n v="2.5"/>
    <s v="GOOD"/>
    <n v="100"/>
    <s v="Win"/>
    <d v="2026-04-18T00:00:00"/>
  </r>
  <r>
    <n v="67"/>
    <n v="10002"/>
    <x v="3"/>
    <x v="0"/>
    <s v="Buy"/>
    <n v="250"/>
    <n v="2.5"/>
    <s v="GOOD"/>
    <n v="100"/>
    <s v="Win"/>
    <d v="2026-03-15T00:00:00"/>
  </r>
  <r>
    <n v="60"/>
    <n v="10006"/>
    <x v="3"/>
    <x v="1"/>
    <s v="Buy"/>
    <n v="150"/>
    <n v="1.5"/>
    <s v="REVIEW"/>
    <n v="100"/>
    <s v="Win"/>
    <d v="2026-05-16T00:00:00"/>
  </r>
  <r>
    <n v="41"/>
    <n v="10003"/>
    <x v="3"/>
    <x v="1"/>
    <s v="Buy"/>
    <n v="100"/>
    <n v="1"/>
    <s v="REVIEW"/>
    <n v="100"/>
    <s v="Win"/>
    <d v="2026-06-24T00:00:00"/>
  </r>
  <r>
    <n v="89"/>
    <n v="10003"/>
    <x v="3"/>
    <x v="0"/>
    <s v="Sell"/>
    <n v="75"/>
    <n v="1.5"/>
    <s v="REVIEW"/>
    <n v="50"/>
    <s v="Win"/>
    <d v="2026-05-25T00:00:00"/>
  </r>
  <r>
    <n v="25"/>
    <n v="10003"/>
    <x v="3"/>
    <x v="1"/>
    <s v="Buy"/>
    <n v="-50"/>
    <n v="-0.5"/>
    <s v="REVIEW"/>
    <n v="100"/>
    <s v="Loss"/>
    <d v="2026-01-13T00:00:00"/>
  </r>
  <r>
    <n v="9"/>
    <n v="10006"/>
    <x v="3"/>
    <x v="1"/>
    <s v="Sell"/>
    <n v="-75"/>
    <n v="-1.5"/>
    <s v="REVIEW"/>
    <n v="50"/>
    <s v="Loss"/>
    <d v="2026-04-09T00:00:00"/>
  </r>
  <r>
    <n v="18"/>
    <n v="10003"/>
    <x v="3"/>
    <x v="1"/>
    <s v="Buy"/>
    <n v="-75"/>
    <n v="-1.5"/>
    <s v="REVIEW"/>
    <n v="50"/>
    <s v="Loss"/>
    <d v="2026-06-14T00:00:00"/>
  </r>
  <r>
    <n v="44"/>
    <n v="10005"/>
    <x v="3"/>
    <x v="1"/>
    <s v="Sell"/>
    <n v="-75"/>
    <n v="-1.5"/>
    <s v="REVIEW"/>
    <n v="50"/>
    <s v="Loss"/>
    <d v="2026-06-17T00:00:00"/>
  </r>
  <r>
    <n v="19"/>
    <n v="10001"/>
    <x v="3"/>
    <x v="0"/>
    <s v="Buy"/>
    <n v="-100"/>
    <n v="-1"/>
    <s v="REVIEW"/>
    <n v="100"/>
    <s v="Loss"/>
    <d v="2026-06-07T00:00:00"/>
  </r>
  <r>
    <n v="56"/>
    <n v="10004"/>
    <x v="3"/>
    <x v="0"/>
    <s v="Sell"/>
    <n v="-150"/>
    <n v="-1.5"/>
    <s v="REVIEW"/>
    <n v="100"/>
    <s v="Loss"/>
    <d v="2026-05-14T00:00:00"/>
  </r>
  <r>
    <n v="11"/>
    <n v="10001"/>
    <x v="3"/>
    <x v="1"/>
    <s v="Buy"/>
    <n v="-200"/>
    <n v="-1"/>
    <s v="REVIEW"/>
    <n v="200"/>
    <s v="Loss"/>
    <d v="2026-06-29T00:00:00"/>
  </r>
  <r>
    <n v="51"/>
    <n v="10003"/>
    <x v="3"/>
    <x v="1"/>
    <s v="Sell"/>
    <n v="-200"/>
    <n v="-1"/>
    <s v="REVIEW"/>
    <n v="200"/>
    <s v="Loss"/>
    <d v="2026-03-30T00:00:00"/>
  </r>
  <r>
    <n v="42"/>
    <n v="10002"/>
    <x v="3"/>
    <x v="1"/>
    <s v="Sell"/>
    <n v="-250"/>
    <n v="-1"/>
    <s v="REVIEW"/>
    <n v="250"/>
    <s v="Loss"/>
    <d v="2026-03-15T00:00:00"/>
  </r>
  <r>
    <n v="58"/>
    <n v="10005"/>
    <x v="3"/>
    <x v="1"/>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19">
      <pivotArea collapsedLevelsAreSubtotals="1" fieldPosition="0">
        <references count="1">
          <reference field="4294967294" count="2">
            <x v="1"/>
            <x v="2"/>
          </reference>
        </references>
      </pivotArea>
    </format>
    <format dxfId="18">
      <pivotArea collapsedLevelsAreSubtotals="1" fieldPosition="0">
        <references count="1">
          <reference field="4294967294" count="1">
            <x v="1"/>
          </reference>
        </references>
      </pivotArea>
    </format>
    <format dxfId="17">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6FAED9-24BD-4304-90C1-045F62346022}"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36848F43-8CF7-4D04-9ED1-CE593759E6F0}" autoFormatId="16" applyNumberFormats="0" applyBorderFormats="0" applyFontFormats="0" applyPatternFormats="0" applyAlignmentFormats="0" applyWidthHeightFormats="0">
  <queryTableRefresh nextId="12">
    <queryTableFields count="11">
      <queryTableField id="1" name="TradeDate" tableColumnId="1"/>
      <queryTableField id="2" name="TradeID" tableColumnId="2"/>
      <queryTableField id="3" name="AccountID" tableColumnId="3"/>
      <queryTableField id="4" name="Pair" tableColumnId="4"/>
      <queryTableField id="5" name="Session" tableColumnId="5"/>
      <queryTableField id="6" name="Direction" tableColumnId="6"/>
      <queryTableField id="7" name="Profit" tableColumnId="7"/>
      <queryTableField id="8" name="R" tableColumnId="8"/>
      <queryTableField id="9" name="Risk Status" tableColumnId="9"/>
      <queryTableField id="10" name="Profit per R" tableColumnId="10"/>
      <queryTableField id="11" name="Result"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14C3B-7AFE-48A8-A469-1DA670C5DCBB}" name="dataraw_1" displayName="dataraw_1" ref="A1:K101" tableType="queryTable" totalsRowShown="0">
  <autoFilter ref="A1:K101" xr:uid="{A3C14C3B-7AFE-48A8-A469-1DA670C5DCBB}"/>
  <tableColumns count="11">
    <tableColumn id="1" xr3:uid="{02140309-5C9E-4FCF-A6BE-8EA0CEBA87DC}" uniqueName="1" name="TradeID" queryTableFieldId="1"/>
    <tableColumn id="2" xr3:uid="{FB262FC3-BDF2-4A55-9D6B-49D58D934551}" uniqueName="2" name="AccountID" queryTableFieldId="2"/>
    <tableColumn id="3" xr3:uid="{4C9DCEC0-8086-4C38-9571-B93501264379}" uniqueName="3" name="Pair" queryTableFieldId="3" dataDxfId="16"/>
    <tableColumn id="4" xr3:uid="{B0049864-1E12-47C0-8D45-1BD553A79BAB}" uniqueName="4" name="Session" queryTableFieldId="4" dataDxfId="15"/>
    <tableColumn id="5" xr3:uid="{B5B64422-7954-4A9C-B33D-8A5E60CB500D}" uniqueName="5" name="Direction" queryTableFieldId="5" dataDxfId="14"/>
    <tableColumn id="6" xr3:uid="{BE437651-A68A-4F41-A443-D45C25FBE21E}" uniqueName="6" name="Profit" queryTableFieldId="6"/>
    <tableColumn id="7" xr3:uid="{02DDF3D9-CEDC-4A92-A93C-3CC26BA2A00F}" uniqueName="7" name="R" queryTableFieldId="7"/>
    <tableColumn id="8" xr3:uid="{978AF754-C228-4791-B803-55E415CF70ED}" uniqueName="8" name="Risk Status" queryTableFieldId="8" dataDxfId="13"/>
    <tableColumn id="9" xr3:uid="{5FB9330C-B7E2-4D0F-8CE9-5BCD5AD9DF22}" uniqueName="9" name="Profit per R" queryTableFieldId="9"/>
    <tableColumn id="10" xr3:uid="{7B07BC40-ABE4-4622-B96B-23717E82E09B}" uniqueName="10" name="Result" queryTableFieldId="10" dataDxfId="12"/>
    <tableColumn id="11" xr3:uid="{3DD01B60-6855-4A1D-9460-87483A9790C6}" uniqueName="11" name="TradeDate" queryTableFieldId="11" dataDxfId="11"/>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5E2B4A-F587-46C7-B1AF-07FD114B22FB}" name="dataraw_2" displayName="dataraw_2" ref="A1:K101" tableType="queryTable" totalsRowShown="0">
  <autoFilter ref="A1:K101" xr:uid="{255E2B4A-F587-46C7-B1AF-07FD114B22FB}"/>
  <tableColumns count="11">
    <tableColumn id="1" xr3:uid="{A14AE06E-60BC-4523-8935-4F7DB40DA12E}" uniqueName="1" name="TradeDate" queryTableFieldId="1" dataDxfId="5"/>
    <tableColumn id="2" xr3:uid="{0FBCBCC2-C04C-4108-AA8C-A2EE9CE70B94}" uniqueName="2" name="TradeID" queryTableFieldId="2"/>
    <tableColumn id="3" xr3:uid="{6530741F-E770-4F33-893F-26E3F2AFAC31}" uniqueName="3" name="AccountID" queryTableFieldId="3"/>
    <tableColumn id="4" xr3:uid="{BF91133B-5DC9-4787-8FC1-EDCC0A068C70}" uniqueName="4" name="Pair" queryTableFieldId="4" dataDxfId="4"/>
    <tableColumn id="5" xr3:uid="{B4B87BEE-E5F0-4836-B949-B96C44057CD9}" uniqueName="5" name="Session" queryTableFieldId="5" dataDxfId="3"/>
    <tableColumn id="6" xr3:uid="{3D40CDC5-8302-4786-BE95-2CF81158802F}" uniqueName="6" name="Direction" queryTableFieldId="6" dataDxfId="2"/>
    <tableColumn id="7" xr3:uid="{A8E26826-795B-4D03-B9A7-6476DE81E2AD}" uniqueName="7" name="Profit" queryTableFieldId="7"/>
    <tableColumn id="8" xr3:uid="{65737C5C-1F31-4B6C-B896-437BD9438E48}" uniqueName="8" name="R" queryTableFieldId="8"/>
    <tableColumn id="9" xr3:uid="{7C3065B2-FF24-4D92-AE34-FE5CF7002025}" uniqueName="9" name="Risk Status" queryTableFieldId="9" dataDxfId="1"/>
    <tableColumn id="10" xr3:uid="{8A2C5FCB-CFBB-4E99-96B9-43FB830D5DCF}" uniqueName="10" name="Profit per R" queryTableFieldId="10"/>
    <tableColumn id="11" xr3:uid="{24B431B3-CB74-431B-B339-38B728A621FF}" uniqueName="11" name="Result" queryTableFieldId="11" dataDxfId="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1" totalsRowShown="0">
  <autoFilter ref="A1:K101"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10">
      <calculatedColumnFormula>IF(OR(dataraw[[#This Row],[R]]&gt;=2,dataraw[[#This Row],[Profit]]&gt;500),"GOOD","REVIEW")</calculatedColumnFormula>
    </tableColumn>
    <tableColumn id="14" xr3:uid="{4778648E-2E5E-4C3F-BBFA-07AD84B520D7}" name="Profit per R" dataDxfId="9">
      <calculatedColumnFormula>IFERROR(dataraw[[#This Row],[Profit]]/dataraw[[#This Row],[R]],"0")</calculatedColumnFormula>
    </tableColumn>
    <tableColumn id="8" xr3:uid="{CC96218F-2F0A-46BB-98E4-8AE8218DB3D7}" name="Result"/>
    <tableColumn id="9" xr3:uid="{33DFF7EB-37F8-4413-89B2-47AF0ABF1AB0}" name="TradeDate" dataDxfId="8"/>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3:BD21"/>
  <sheetViews>
    <sheetView topLeftCell="AP1" workbookViewId="0">
      <selection activeCell="BC19" sqref="BC19"/>
    </sheetView>
  </sheetViews>
  <sheetFormatPr defaultRowHeight="14.4" x14ac:dyDescent="0.3"/>
  <cols>
    <col min="3" max="3" width="10.109375" customWidth="1"/>
    <col min="13" max="13" width="9.6640625" bestFit="1" customWidth="1"/>
    <col min="14" max="14" width="11.5546875" customWidth="1"/>
    <col min="33" max="33" width="9.33203125" bestFit="1" customWidth="1"/>
    <col min="37" max="37" width="8.88671875" customWidth="1"/>
    <col min="45" max="45" width="13.21875" bestFit="1" customWidth="1"/>
    <col min="46" max="46" width="14.44140625" bestFit="1" customWidth="1"/>
  </cols>
  <sheetData>
    <row r="3" spans="2:56" x14ac:dyDescent="0.3">
      <c r="AI3" s="19" t="s">
        <v>50</v>
      </c>
      <c r="AJ3" s="19"/>
      <c r="AK3" s="19"/>
      <c r="AL3" s="19"/>
      <c r="AM3" s="19"/>
      <c r="AN3" s="19"/>
      <c r="AO3" s="19"/>
    </row>
    <row r="4" spans="2:56" x14ac:dyDescent="0.3">
      <c r="M4" s="13" t="s">
        <v>42</v>
      </c>
      <c r="N4" s="13" t="s">
        <v>43</v>
      </c>
      <c r="AI4" s="19"/>
      <c r="AJ4" s="19"/>
      <c r="AK4" s="19"/>
      <c r="AL4" s="19"/>
      <c r="AM4" s="19"/>
      <c r="AN4" s="19"/>
      <c r="AO4" s="19"/>
    </row>
    <row r="5" spans="2:56" x14ac:dyDescent="0.3">
      <c r="B5" s="13" t="s">
        <v>36</v>
      </c>
      <c r="C5" s="13" t="s">
        <v>37</v>
      </c>
      <c r="M5" s="12" t="s">
        <v>38</v>
      </c>
      <c r="N5" s="12">
        <v>100</v>
      </c>
      <c r="T5" s="19" t="s">
        <v>44</v>
      </c>
      <c r="U5" s="19"/>
      <c r="V5" s="19"/>
      <c r="W5" s="19"/>
      <c r="X5" s="19"/>
      <c r="AI5" s="19"/>
      <c r="AJ5" s="19"/>
      <c r="AK5" s="19"/>
      <c r="AL5" s="19"/>
      <c r="AM5" s="19"/>
      <c r="AN5" s="19"/>
      <c r="AO5" s="19"/>
      <c r="AT5" s="19"/>
      <c r="AU5" s="19"/>
      <c r="AV5" s="19"/>
      <c r="AW5" s="19"/>
      <c r="AX5" s="19"/>
      <c r="AY5" s="19"/>
      <c r="AZ5" s="19" t="s">
        <v>58</v>
      </c>
      <c r="BA5" s="19"/>
      <c r="BB5" s="19"/>
      <c r="BC5" s="19"/>
      <c r="BD5" s="19"/>
    </row>
    <row r="6" spans="2:56" x14ac:dyDescent="0.3">
      <c r="B6" s="12" t="s">
        <v>32</v>
      </c>
      <c r="C6" s="12">
        <v>1563</v>
      </c>
      <c r="M6" s="12" t="s">
        <v>39</v>
      </c>
      <c r="N6" s="12">
        <v>54</v>
      </c>
      <c r="AS6" s="16" t="s">
        <v>55</v>
      </c>
      <c r="AT6" s="16" t="s">
        <v>56</v>
      </c>
    </row>
    <row r="7" spans="2:56" ht="18" x14ac:dyDescent="0.35">
      <c r="B7" s="12" t="s">
        <v>33</v>
      </c>
      <c r="C7" s="12">
        <v>654</v>
      </c>
      <c r="M7" s="12" t="s">
        <v>40</v>
      </c>
      <c r="N7" s="12">
        <v>100</v>
      </c>
      <c r="U7" s="15" t="s">
        <v>45</v>
      </c>
      <c r="V7" s="15" t="s">
        <v>46</v>
      </c>
      <c r="AG7" s="12" t="s">
        <v>40</v>
      </c>
      <c r="AH7" s="12">
        <v>4</v>
      </c>
      <c r="AS7" s="14" t="s">
        <v>51</v>
      </c>
      <c r="AT7" s="14">
        <v>4</v>
      </c>
      <c r="AZ7" s="17" t="s">
        <v>57</v>
      </c>
    </row>
    <row r="8" spans="2:56" x14ac:dyDescent="0.3">
      <c r="B8" s="12" t="s">
        <v>34</v>
      </c>
      <c r="C8" s="12">
        <v>-64</v>
      </c>
      <c r="M8" s="12" t="s">
        <v>41</v>
      </c>
      <c r="N8" s="12">
        <v>60</v>
      </c>
      <c r="U8" s="14">
        <v>10</v>
      </c>
      <c r="V8" s="14">
        <v>189</v>
      </c>
      <c r="AG8" s="12" t="s">
        <v>47</v>
      </c>
      <c r="AH8" s="12">
        <v>3</v>
      </c>
      <c r="AS8" s="14" t="s">
        <v>52</v>
      </c>
      <c r="AT8" s="14">
        <v>7</v>
      </c>
      <c r="AZ8" s="14">
        <v>200</v>
      </c>
    </row>
    <row r="9" spans="2:56" x14ac:dyDescent="0.3">
      <c r="B9" s="12" t="s">
        <v>35</v>
      </c>
      <c r="C9" s="12">
        <v>763</v>
      </c>
      <c r="U9" s="14">
        <v>12</v>
      </c>
      <c r="V9" s="14">
        <v>190</v>
      </c>
      <c r="AG9" s="12" t="s">
        <v>48</v>
      </c>
      <c r="AH9" s="12">
        <v>6</v>
      </c>
      <c r="AS9" s="14" t="s">
        <v>53</v>
      </c>
      <c r="AT9" s="14">
        <v>8</v>
      </c>
      <c r="AZ9" s="14">
        <v>198</v>
      </c>
    </row>
    <row r="10" spans="2:56" x14ac:dyDescent="0.3">
      <c r="U10" s="14">
        <v>14</v>
      </c>
      <c r="V10" s="14">
        <v>199</v>
      </c>
      <c r="AG10" s="12" t="s">
        <v>49</v>
      </c>
      <c r="AH10" s="12">
        <v>2</v>
      </c>
      <c r="AS10" s="14" t="s">
        <v>54</v>
      </c>
      <c r="AT10" s="14">
        <v>2</v>
      </c>
      <c r="AZ10" s="14">
        <v>171</v>
      </c>
    </row>
    <row r="11" spans="2:56" x14ac:dyDescent="0.3">
      <c r="U11" s="14">
        <v>17</v>
      </c>
      <c r="V11" s="14">
        <v>203</v>
      </c>
      <c r="AG11" s="12"/>
      <c r="AH11" s="12"/>
      <c r="AZ11" s="14">
        <v>160</v>
      </c>
    </row>
    <row r="12" spans="2:56" x14ac:dyDescent="0.3">
      <c r="U12" s="14">
        <v>20</v>
      </c>
      <c r="V12" s="14">
        <v>233</v>
      </c>
      <c r="AZ12" s="14">
        <v>160</v>
      </c>
    </row>
    <row r="13" spans="2:56" x14ac:dyDescent="0.3">
      <c r="U13" s="14">
        <v>24</v>
      </c>
      <c r="V13" s="14">
        <v>300</v>
      </c>
      <c r="AZ13" s="14">
        <v>154</v>
      </c>
    </row>
    <row r="14" spans="2:56" x14ac:dyDescent="0.3">
      <c r="U14" s="14">
        <v>29</v>
      </c>
      <c r="V14" s="14">
        <v>379</v>
      </c>
      <c r="AZ14" s="14">
        <v>120</v>
      </c>
    </row>
    <row r="15" spans="2:56" x14ac:dyDescent="0.3">
      <c r="AZ15" s="14">
        <v>-50</v>
      </c>
    </row>
    <row r="16" spans="2:56" x14ac:dyDescent="0.3">
      <c r="AZ16" s="14">
        <v>-100</v>
      </c>
    </row>
    <row r="17" spans="51:52" x14ac:dyDescent="0.3">
      <c r="AZ17" s="14">
        <v>-100</v>
      </c>
    </row>
    <row r="18" spans="51:52" x14ac:dyDescent="0.3">
      <c r="AZ18" s="14">
        <v>-102</v>
      </c>
    </row>
    <row r="19" spans="51:52" x14ac:dyDescent="0.3">
      <c r="AZ19" s="18">
        <v>782</v>
      </c>
    </row>
    <row r="20" spans="51:52" x14ac:dyDescent="0.3">
      <c r="AY20" t="s">
        <v>59</v>
      </c>
      <c r="AZ20">
        <f>MEDIAN(AZ8:AZ19)</f>
        <v>157</v>
      </c>
    </row>
    <row r="21" spans="51:52" x14ac:dyDescent="0.3">
      <c r="AY21" t="s">
        <v>60</v>
      </c>
      <c r="AZ21">
        <f>AVERAGE(AZ8:AZ19)</f>
        <v>132.75</v>
      </c>
    </row>
  </sheetData>
  <sortState xmlns:xlrd2="http://schemas.microsoft.com/office/spreadsheetml/2017/richdata2" ref="AZ8:AZ18">
    <sortCondition descending="1" ref="AZ8:AZ18"/>
  </sortState>
  <mergeCells count="4">
    <mergeCell ref="T5:X5"/>
    <mergeCell ref="AI3:AO5"/>
    <mergeCell ref="AT5:AY5"/>
    <mergeCell ref="AZ5:BD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958-9FC5-45C7-B06E-A5AB8F93831F}">
  <dimension ref="A1:K101"/>
  <sheetViews>
    <sheetView topLeftCell="A2" workbookViewId="0">
      <selection activeCell="H10" sqref="H10"/>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183B3-DCB8-4351-B1C7-FBE195B20F25}">
  <dimension ref="A1:K101"/>
  <sheetViews>
    <sheetView tabSelected="1" workbookViewId="0"/>
  </sheetViews>
  <sheetFormatPr defaultRowHeight="14.4" x14ac:dyDescent="0.3"/>
  <cols>
    <col min="1" max="1" width="11.77734375" bestFit="1" customWidth="1"/>
    <col min="2" max="2" width="9.6640625" bestFit="1" customWidth="1"/>
    <col min="3" max="3" width="11.77734375" bestFit="1" customWidth="1"/>
    <col min="4" max="4" width="8" bestFit="1" customWidth="1"/>
    <col min="5" max="5" width="9.6640625" bestFit="1" customWidth="1"/>
    <col min="6" max="6" width="10.88671875" bestFit="1" customWidth="1"/>
    <col min="7" max="7" width="7.77734375" bestFit="1" customWidth="1"/>
    <col min="8" max="8" width="4.6640625" bestFit="1" customWidth="1"/>
    <col min="9" max="9" width="12.44140625" bestFit="1" customWidth="1"/>
    <col min="10" max="10" width="12.33203125" bestFit="1" customWidth="1"/>
    <col min="11" max="11" width="8.44140625" bestFit="1" customWidth="1"/>
  </cols>
  <sheetData>
    <row r="1" spans="1:11" x14ac:dyDescent="0.3">
      <c r="A1" t="s">
        <v>8</v>
      </c>
      <c r="B1" t="s">
        <v>0</v>
      </c>
      <c r="C1" t="s">
        <v>1</v>
      </c>
      <c r="D1" t="s">
        <v>2</v>
      </c>
      <c r="E1" t="s">
        <v>3</v>
      </c>
      <c r="F1" t="s">
        <v>4</v>
      </c>
      <c r="G1" t="s">
        <v>5</v>
      </c>
      <c r="H1" t="s">
        <v>6</v>
      </c>
      <c r="I1" t="s">
        <v>19</v>
      </c>
      <c r="J1" t="s">
        <v>20</v>
      </c>
      <c r="K1" t="s">
        <v>7</v>
      </c>
    </row>
    <row r="2" spans="1:11" x14ac:dyDescent="0.3">
      <c r="A2" s="1">
        <v>46164</v>
      </c>
      <c r="B2">
        <v>6</v>
      </c>
      <c r="C2">
        <v>10005</v>
      </c>
      <c r="D2" s="6" t="s">
        <v>9</v>
      </c>
      <c r="E2" s="6" t="s">
        <v>16</v>
      </c>
      <c r="F2" s="6" t="s">
        <v>14</v>
      </c>
      <c r="G2">
        <v>600</v>
      </c>
      <c r="H2">
        <v>3</v>
      </c>
      <c r="I2" s="6" t="s">
        <v>22</v>
      </c>
      <c r="J2">
        <v>200</v>
      </c>
      <c r="K2" s="6" t="s">
        <v>12</v>
      </c>
    </row>
    <row r="3" spans="1:11" x14ac:dyDescent="0.3">
      <c r="A3" s="1">
        <v>46171</v>
      </c>
      <c r="B3">
        <v>80</v>
      </c>
      <c r="C3">
        <v>10006</v>
      </c>
      <c r="D3" s="6" t="s">
        <v>9</v>
      </c>
      <c r="E3" s="6" t="s">
        <v>16</v>
      </c>
      <c r="F3" s="6" t="s">
        <v>11</v>
      </c>
      <c r="G3">
        <v>600</v>
      </c>
      <c r="H3">
        <v>3</v>
      </c>
      <c r="I3" s="6" t="s">
        <v>22</v>
      </c>
      <c r="J3">
        <v>200</v>
      </c>
      <c r="K3" s="6" t="s">
        <v>12</v>
      </c>
    </row>
    <row r="4" spans="1:11" x14ac:dyDescent="0.3">
      <c r="A4" s="1">
        <v>46168</v>
      </c>
      <c r="B4">
        <v>16</v>
      </c>
      <c r="C4">
        <v>10006</v>
      </c>
      <c r="D4" s="6" t="s">
        <v>9</v>
      </c>
      <c r="E4" s="6" t="s">
        <v>10</v>
      </c>
      <c r="F4" s="6" t="s">
        <v>11</v>
      </c>
      <c r="G4">
        <v>500</v>
      </c>
      <c r="H4">
        <v>2</v>
      </c>
      <c r="I4" s="6" t="s">
        <v>22</v>
      </c>
      <c r="J4">
        <v>250</v>
      </c>
      <c r="K4" s="6" t="s">
        <v>12</v>
      </c>
    </row>
    <row r="5" spans="1:11" x14ac:dyDescent="0.3">
      <c r="A5" s="1">
        <v>46182</v>
      </c>
      <c r="B5">
        <v>78</v>
      </c>
      <c r="C5">
        <v>10001</v>
      </c>
      <c r="D5" s="6" t="s">
        <v>9</v>
      </c>
      <c r="E5" s="6" t="s">
        <v>10</v>
      </c>
      <c r="F5" s="6" t="s">
        <v>11</v>
      </c>
      <c r="G5">
        <v>500</v>
      </c>
      <c r="H5">
        <v>2</v>
      </c>
      <c r="I5" s="6" t="s">
        <v>22</v>
      </c>
      <c r="J5">
        <v>250</v>
      </c>
      <c r="K5" s="6" t="s">
        <v>12</v>
      </c>
    </row>
    <row r="6" spans="1:11" x14ac:dyDescent="0.3">
      <c r="A6" s="1">
        <v>46041</v>
      </c>
      <c r="B6">
        <v>35</v>
      </c>
      <c r="C6">
        <v>10005</v>
      </c>
      <c r="D6" s="6" t="s">
        <v>9</v>
      </c>
      <c r="E6" s="6" t="s">
        <v>10</v>
      </c>
      <c r="F6" s="6" t="s">
        <v>14</v>
      </c>
      <c r="G6">
        <v>375</v>
      </c>
      <c r="H6">
        <v>1.5</v>
      </c>
      <c r="I6" s="6" t="s">
        <v>23</v>
      </c>
      <c r="J6">
        <v>250</v>
      </c>
      <c r="K6" s="6" t="s">
        <v>12</v>
      </c>
    </row>
    <row r="7" spans="1:11" x14ac:dyDescent="0.3">
      <c r="A7" s="1">
        <v>46055</v>
      </c>
      <c r="B7">
        <v>45</v>
      </c>
      <c r="C7">
        <v>10003</v>
      </c>
      <c r="D7" s="6" t="s">
        <v>9</v>
      </c>
      <c r="E7" s="6" t="s">
        <v>10</v>
      </c>
      <c r="F7" s="6" t="s">
        <v>14</v>
      </c>
      <c r="G7">
        <v>375</v>
      </c>
      <c r="H7">
        <v>1.5</v>
      </c>
      <c r="I7" s="6" t="s">
        <v>23</v>
      </c>
      <c r="J7">
        <v>250</v>
      </c>
      <c r="K7" s="6" t="s">
        <v>12</v>
      </c>
    </row>
    <row r="8" spans="1:11" x14ac:dyDescent="0.3">
      <c r="A8" s="1">
        <v>46091</v>
      </c>
      <c r="B8">
        <v>43</v>
      </c>
      <c r="C8">
        <v>10003</v>
      </c>
      <c r="D8" s="6" t="s">
        <v>9</v>
      </c>
      <c r="E8" s="6" t="s">
        <v>10</v>
      </c>
      <c r="F8" s="6" t="s">
        <v>11</v>
      </c>
      <c r="G8">
        <v>200</v>
      </c>
      <c r="H8">
        <v>2</v>
      </c>
      <c r="I8" s="6" t="s">
        <v>22</v>
      </c>
      <c r="J8">
        <v>100</v>
      </c>
      <c r="K8" s="6" t="s">
        <v>12</v>
      </c>
    </row>
    <row r="9" spans="1:11" x14ac:dyDescent="0.3">
      <c r="A9" s="1">
        <v>46198</v>
      </c>
      <c r="B9">
        <v>77</v>
      </c>
      <c r="C9">
        <v>10006</v>
      </c>
      <c r="D9" s="6" t="s">
        <v>9</v>
      </c>
      <c r="E9" s="6" t="s">
        <v>10</v>
      </c>
      <c r="F9" s="6" t="s">
        <v>11</v>
      </c>
      <c r="G9">
        <v>200</v>
      </c>
      <c r="H9">
        <v>2</v>
      </c>
      <c r="I9" s="6" t="s">
        <v>22</v>
      </c>
      <c r="J9">
        <v>100</v>
      </c>
      <c r="K9" s="6" t="s">
        <v>12</v>
      </c>
    </row>
    <row r="10" spans="1:11" x14ac:dyDescent="0.3">
      <c r="A10" s="1">
        <v>46101</v>
      </c>
      <c r="B10">
        <v>99</v>
      </c>
      <c r="C10">
        <v>10006</v>
      </c>
      <c r="D10" s="6" t="s">
        <v>9</v>
      </c>
      <c r="E10" s="6" t="s">
        <v>10</v>
      </c>
      <c r="F10" s="6" t="s">
        <v>11</v>
      </c>
      <c r="G10">
        <v>125</v>
      </c>
      <c r="H10">
        <v>2.5</v>
      </c>
      <c r="I10" s="6" t="s">
        <v>22</v>
      </c>
      <c r="J10">
        <v>50</v>
      </c>
      <c r="K10" s="6" t="s">
        <v>12</v>
      </c>
    </row>
    <row r="11" spans="1:11" x14ac:dyDescent="0.3">
      <c r="A11" s="1">
        <v>46172</v>
      </c>
      <c r="B11">
        <v>97</v>
      </c>
      <c r="C11">
        <v>10006</v>
      </c>
      <c r="D11" s="6" t="s">
        <v>9</v>
      </c>
      <c r="E11" s="6" t="s">
        <v>10</v>
      </c>
      <c r="F11" s="6" t="s">
        <v>14</v>
      </c>
      <c r="G11">
        <v>100</v>
      </c>
      <c r="H11">
        <v>1</v>
      </c>
      <c r="I11" s="6" t="s">
        <v>23</v>
      </c>
      <c r="J11">
        <v>100</v>
      </c>
      <c r="K11" s="6" t="s">
        <v>12</v>
      </c>
    </row>
    <row r="12" spans="1:11" x14ac:dyDescent="0.3">
      <c r="A12" s="1">
        <v>46053</v>
      </c>
      <c r="B12">
        <v>93</v>
      </c>
      <c r="C12">
        <v>10004</v>
      </c>
      <c r="D12" s="6" t="s">
        <v>9</v>
      </c>
      <c r="E12" s="6" t="s">
        <v>16</v>
      </c>
      <c r="F12" s="6" t="s">
        <v>11</v>
      </c>
      <c r="G12">
        <v>75</v>
      </c>
      <c r="H12">
        <v>1.5</v>
      </c>
      <c r="I12" s="6" t="s">
        <v>23</v>
      </c>
      <c r="J12">
        <v>50</v>
      </c>
      <c r="K12" s="6" t="s">
        <v>12</v>
      </c>
    </row>
    <row r="13" spans="1:11" x14ac:dyDescent="0.3">
      <c r="A13" s="1">
        <v>46190</v>
      </c>
      <c r="B13">
        <v>1</v>
      </c>
      <c r="C13">
        <v>10002</v>
      </c>
      <c r="D13" s="6" t="s">
        <v>9</v>
      </c>
      <c r="E13" s="6" t="s">
        <v>10</v>
      </c>
      <c r="F13" s="6" t="s">
        <v>11</v>
      </c>
      <c r="G13">
        <v>50</v>
      </c>
      <c r="H13">
        <v>1</v>
      </c>
      <c r="I13" s="6" t="s">
        <v>23</v>
      </c>
      <c r="J13">
        <v>50</v>
      </c>
      <c r="K13" s="6" t="s">
        <v>12</v>
      </c>
    </row>
    <row r="14" spans="1:11" x14ac:dyDescent="0.3">
      <c r="A14" s="1">
        <v>46107</v>
      </c>
      <c r="B14">
        <v>38</v>
      </c>
      <c r="C14">
        <v>10005</v>
      </c>
      <c r="D14" s="6" t="s">
        <v>9</v>
      </c>
      <c r="E14" s="6" t="s">
        <v>10</v>
      </c>
      <c r="F14" s="6" t="s">
        <v>11</v>
      </c>
      <c r="G14">
        <v>-25</v>
      </c>
      <c r="H14">
        <v>-0.5</v>
      </c>
      <c r="I14" s="6" t="s">
        <v>23</v>
      </c>
      <c r="J14">
        <v>50</v>
      </c>
      <c r="K14" s="6" t="s">
        <v>17</v>
      </c>
    </row>
    <row r="15" spans="1:11" x14ac:dyDescent="0.3">
      <c r="A15" s="1">
        <v>46167</v>
      </c>
      <c r="B15">
        <v>30</v>
      </c>
      <c r="C15">
        <v>10001</v>
      </c>
      <c r="D15" s="6" t="s">
        <v>9</v>
      </c>
      <c r="E15" s="6" t="s">
        <v>10</v>
      </c>
      <c r="F15" s="6" t="s">
        <v>14</v>
      </c>
      <c r="G15">
        <v>-50</v>
      </c>
      <c r="H15">
        <v>-0.5</v>
      </c>
      <c r="I15" s="6" t="s">
        <v>23</v>
      </c>
      <c r="J15">
        <v>100</v>
      </c>
      <c r="K15" s="6" t="s">
        <v>17</v>
      </c>
    </row>
    <row r="16" spans="1:11" x14ac:dyDescent="0.3">
      <c r="A16" s="1">
        <v>46059</v>
      </c>
      <c r="B16">
        <v>46</v>
      </c>
      <c r="C16">
        <v>10001</v>
      </c>
      <c r="D16" s="6" t="s">
        <v>9</v>
      </c>
      <c r="E16" s="6" t="s">
        <v>16</v>
      </c>
      <c r="F16" s="6" t="s">
        <v>11</v>
      </c>
      <c r="G16">
        <v>-50</v>
      </c>
      <c r="H16">
        <v>-0.5</v>
      </c>
      <c r="I16" s="6" t="s">
        <v>23</v>
      </c>
      <c r="J16">
        <v>100</v>
      </c>
      <c r="K16" s="6" t="s">
        <v>17</v>
      </c>
    </row>
    <row r="17" spans="1:11" x14ac:dyDescent="0.3">
      <c r="A17" s="1">
        <v>46197</v>
      </c>
      <c r="B17">
        <v>47</v>
      </c>
      <c r="C17">
        <v>10005</v>
      </c>
      <c r="D17" s="6" t="s">
        <v>9</v>
      </c>
      <c r="E17" s="6" t="s">
        <v>16</v>
      </c>
      <c r="F17" s="6" t="s">
        <v>11</v>
      </c>
      <c r="G17">
        <v>-50</v>
      </c>
      <c r="H17">
        <v>-0.5</v>
      </c>
      <c r="I17" s="6" t="s">
        <v>23</v>
      </c>
      <c r="J17">
        <v>100</v>
      </c>
      <c r="K17" s="6" t="s">
        <v>17</v>
      </c>
    </row>
    <row r="18" spans="1:11" x14ac:dyDescent="0.3">
      <c r="A18" s="1">
        <v>46034</v>
      </c>
      <c r="B18">
        <v>52</v>
      </c>
      <c r="C18">
        <v>10005</v>
      </c>
      <c r="D18" s="6" t="s">
        <v>9</v>
      </c>
      <c r="E18" s="6" t="s">
        <v>16</v>
      </c>
      <c r="F18" s="6" t="s">
        <v>14</v>
      </c>
      <c r="G18">
        <v>-50</v>
      </c>
      <c r="H18">
        <v>-1</v>
      </c>
      <c r="I18" s="6" t="s">
        <v>23</v>
      </c>
      <c r="J18">
        <v>50</v>
      </c>
      <c r="K18" s="6" t="s">
        <v>17</v>
      </c>
    </row>
    <row r="19" spans="1:11" x14ac:dyDescent="0.3">
      <c r="A19" s="1">
        <v>46086</v>
      </c>
      <c r="B19">
        <v>8</v>
      </c>
      <c r="C19">
        <v>10004</v>
      </c>
      <c r="D19" s="6" t="s">
        <v>9</v>
      </c>
      <c r="E19" s="6" t="s">
        <v>16</v>
      </c>
      <c r="F19" s="6" t="s">
        <v>11</v>
      </c>
      <c r="G19">
        <v>-100</v>
      </c>
      <c r="H19">
        <v>-1</v>
      </c>
      <c r="I19" s="6" t="s">
        <v>23</v>
      </c>
      <c r="J19">
        <v>100</v>
      </c>
      <c r="K19" s="6" t="s">
        <v>17</v>
      </c>
    </row>
    <row r="20" spans="1:11" x14ac:dyDescent="0.3">
      <c r="A20" s="1">
        <v>46149</v>
      </c>
      <c r="B20">
        <v>70</v>
      </c>
      <c r="C20">
        <v>10004</v>
      </c>
      <c r="D20" s="6" t="s">
        <v>9</v>
      </c>
      <c r="E20" s="6" t="s">
        <v>16</v>
      </c>
      <c r="F20" s="6" t="s">
        <v>11</v>
      </c>
      <c r="G20">
        <v>-100</v>
      </c>
      <c r="H20">
        <v>-1</v>
      </c>
      <c r="I20" s="6" t="s">
        <v>23</v>
      </c>
      <c r="J20">
        <v>100</v>
      </c>
      <c r="K20" s="6" t="s">
        <v>17</v>
      </c>
    </row>
    <row r="21" spans="1:11" x14ac:dyDescent="0.3">
      <c r="A21" s="1">
        <v>46169</v>
      </c>
      <c r="B21">
        <v>86</v>
      </c>
      <c r="C21">
        <v>10002</v>
      </c>
      <c r="D21" s="6" t="s">
        <v>9</v>
      </c>
      <c r="E21" s="6" t="s">
        <v>10</v>
      </c>
      <c r="F21" s="6" t="s">
        <v>14</v>
      </c>
      <c r="G21">
        <v>-100</v>
      </c>
      <c r="H21">
        <v>-1</v>
      </c>
      <c r="I21" s="6" t="s">
        <v>23</v>
      </c>
      <c r="J21">
        <v>100</v>
      </c>
      <c r="K21" s="6" t="s">
        <v>17</v>
      </c>
    </row>
    <row r="22" spans="1:11" x14ac:dyDescent="0.3">
      <c r="A22" s="1">
        <v>46033</v>
      </c>
      <c r="B22">
        <v>61</v>
      </c>
      <c r="C22">
        <v>10005</v>
      </c>
      <c r="D22" s="6" t="s">
        <v>9</v>
      </c>
      <c r="E22" s="6" t="s">
        <v>10</v>
      </c>
      <c r="F22" s="6" t="s">
        <v>11</v>
      </c>
      <c r="G22">
        <v>-125</v>
      </c>
      <c r="H22">
        <v>-0.5</v>
      </c>
      <c r="I22" s="6" t="s">
        <v>23</v>
      </c>
      <c r="J22">
        <v>250</v>
      </c>
      <c r="K22" s="6" t="s">
        <v>17</v>
      </c>
    </row>
    <row r="23" spans="1:11" x14ac:dyDescent="0.3">
      <c r="A23" s="1">
        <v>46107</v>
      </c>
      <c r="B23">
        <v>34</v>
      </c>
      <c r="C23">
        <v>10005</v>
      </c>
      <c r="D23" s="6" t="s">
        <v>9</v>
      </c>
      <c r="E23" s="6" t="s">
        <v>10</v>
      </c>
      <c r="F23" s="6" t="s">
        <v>11</v>
      </c>
      <c r="G23">
        <v>-150</v>
      </c>
      <c r="H23">
        <v>-1.5</v>
      </c>
      <c r="I23" s="6" t="s">
        <v>23</v>
      </c>
      <c r="J23">
        <v>100</v>
      </c>
      <c r="K23" s="6" t="s">
        <v>17</v>
      </c>
    </row>
    <row r="24" spans="1:11" x14ac:dyDescent="0.3">
      <c r="A24" s="1">
        <v>46094</v>
      </c>
      <c r="B24">
        <v>13</v>
      </c>
      <c r="C24">
        <v>10006</v>
      </c>
      <c r="D24" s="6" t="s">
        <v>15</v>
      </c>
      <c r="E24" s="6" t="s">
        <v>10</v>
      </c>
      <c r="F24" s="6" t="s">
        <v>11</v>
      </c>
      <c r="G24">
        <v>750</v>
      </c>
      <c r="H24">
        <v>3</v>
      </c>
      <c r="I24" s="6" t="s">
        <v>22</v>
      </c>
      <c r="J24">
        <v>250</v>
      </c>
      <c r="K24" s="6" t="s">
        <v>12</v>
      </c>
    </row>
    <row r="25" spans="1:11" x14ac:dyDescent="0.3">
      <c r="A25" s="1">
        <v>46088</v>
      </c>
      <c r="B25">
        <v>98</v>
      </c>
      <c r="C25">
        <v>10001</v>
      </c>
      <c r="D25" s="6" t="s">
        <v>15</v>
      </c>
      <c r="E25" s="6" t="s">
        <v>10</v>
      </c>
      <c r="F25" s="6" t="s">
        <v>14</v>
      </c>
      <c r="G25">
        <v>750</v>
      </c>
      <c r="H25">
        <v>3</v>
      </c>
      <c r="I25" s="6" t="s">
        <v>22</v>
      </c>
      <c r="J25">
        <v>250</v>
      </c>
      <c r="K25" s="6" t="s">
        <v>12</v>
      </c>
    </row>
    <row r="26" spans="1:11" x14ac:dyDescent="0.3">
      <c r="A26" s="1">
        <v>46207</v>
      </c>
      <c r="B26">
        <v>68</v>
      </c>
      <c r="C26">
        <v>10004</v>
      </c>
      <c r="D26" s="6" t="s">
        <v>15</v>
      </c>
      <c r="E26" s="6" t="s">
        <v>10</v>
      </c>
      <c r="F26" s="6" t="s">
        <v>11</v>
      </c>
      <c r="G26">
        <v>625</v>
      </c>
      <c r="H26">
        <v>2.5</v>
      </c>
      <c r="I26" s="6" t="s">
        <v>22</v>
      </c>
      <c r="J26">
        <v>250</v>
      </c>
      <c r="K26" s="6" t="s">
        <v>12</v>
      </c>
    </row>
    <row r="27" spans="1:11" x14ac:dyDescent="0.3">
      <c r="A27" s="1">
        <v>46151</v>
      </c>
      <c r="B27">
        <v>85</v>
      </c>
      <c r="C27">
        <v>10003</v>
      </c>
      <c r="D27" s="6" t="s">
        <v>15</v>
      </c>
      <c r="E27" s="6" t="s">
        <v>16</v>
      </c>
      <c r="F27" s="6" t="s">
        <v>11</v>
      </c>
      <c r="G27">
        <v>600</v>
      </c>
      <c r="H27">
        <v>3</v>
      </c>
      <c r="I27" s="6" t="s">
        <v>22</v>
      </c>
      <c r="J27">
        <v>200</v>
      </c>
      <c r="K27" s="6" t="s">
        <v>12</v>
      </c>
    </row>
    <row r="28" spans="1:11" x14ac:dyDescent="0.3">
      <c r="A28" s="1">
        <v>46187</v>
      </c>
      <c r="B28">
        <v>15</v>
      </c>
      <c r="C28">
        <v>10004</v>
      </c>
      <c r="D28" s="6" t="s">
        <v>15</v>
      </c>
      <c r="E28" s="6" t="s">
        <v>16</v>
      </c>
      <c r="F28" s="6" t="s">
        <v>14</v>
      </c>
      <c r="G28">
        <v>500</v>
      </c>
      <c r="H28">
        <v>2.5</v>
      </c>
      <c r="I28" s="6" t="s">
        <v>22</v>
      </c>
      <c r="J28">
        <v>200</v>
      </c>
      <c r="K28" s="6" t="s">
        <v>12</v>
      </c>
    </row>
    <row r="29" spans="1:11" x14ac:dyDescent="0.3">
      <c r="A29" s="1">
        <v>46093</v>
      </c>
      <c r="B29">
        <v>37</v>
      </c>
      <c r="C29">
        <v>10003</v>
      </c>
      <c r="D29" s="6" t="s">
        <v>15</v>
      </c>
      <c r="E29" s="6" t="s">
        <v>16</v>
      </c>
      <c r="F29" s="6" t="s">
        <v>14</v>
      </c>
      <c r="G29">
        <v>500</v>
      </c>
      <c r="H29">
        <v>2</v>
      </c>
      <c r="I29" s="6" t="s">
        <v>22</v>
      </c>
      <c r="J29">
        <v>250</v>
      </c>
      <c r="K29" s="6" t="s">
        <v>12</v>
      </c>
    </row>
    <row r="30" spans="1:11" x14ac:dyDescent="0.3">
      <c r="A30" s="1">
        <v>46151</v>
      </c>
      <c r="B30">
        <v>71</v>
      </c>
      <c r="C30">
        <v>10004</v>
      </c>
      <c r="D30" s="6" t="s">
        <v>15</v>
      </c>
      <c r="E30" s="6" t="s">
        <v>16</v>
      </c>
      <c r="F30" s="6" t="s">
        <v>11</v>
      </c>
      <c r="G30">
        <v>500</v>
      </c>
      <c r="H30">
        <v>2</v>
      </c>
      <c r="I30" s="6" t="s">
        <v>22</v>
      </c>
      <c r="J30">
        <v>250</v>
      </c>
      <c r="K30" s="6" t="s">
        <v>12</v>
      </c>
    </row>
    <row r="31" spans="1:11" x14ac:dyDescent="0.3">
      <c r="A31" s="1">
        <v>46204</v>
      </c>
      <c r="B31">
        <v>88</v>
      </c>
      <c r="C31">
        <v>10004</v>
      </c>
      <c r="D31" s="6" t="s">
        <v>15</v>
      </c>
      <c r="E31" s="6" t="s">
        <v>16</v>
      </c>
      <c r="F31" s="6" t="s">
        <v>11</v>
      </c>
      <c r="G31">
        <v>500</v>
      </c>
      <c r="H31">
        <v>2</v>
      </c>
      <c r="I31" s="6" t="s">
        <v>22</v>
      </c>
      <c r="J31">
        <v>250</v>
      </c>
      <c r="K31" s="6" t="s">
        <v>12</v>
      </c>
    </row>
    <row r="32" spans="1:11" x14ac:dyDescent="0.3">
      <c r="A32" s="1">
        <v>46034</v>
      </c>
      <c r="B32">
        <v>76</v>
      </c>
      <c r="C32">
        <v>10005</v>
      </c>
      <c r="D32" s="6" t="s">
        <v>15</v>
      </c>
      <c r="E32" s="6" t="s">
        <v>10</v>
      </c>
      <c r="F32" s="6" t="s">
        <v>14</v>
      </c>
      <c r="G32">
        <v>375</v>
      </c>
      <c r="H32">
        <v>1.5</v>
      </c>
      <c r="I32" s="6" t="s">
        <v>23</v>
      </c>
      <c r="J32">
        <v>250</v>
      </c>
      <c r="K32" s="6" t="s">
        <v>12</v>
      </c>
    </row>
    <row r="33" spans="1:11" x14ac:dyDescent="0.3">
      <c r="A33" s="1">
        <v>46030</v>
      </c>
      <c r="B33">
        <v>92</v>
      </c>
      <c r="C33">
        <v>10001</v>
      </c>
      <c r="D33" s="6" t="s">
        <v>15</v>
      </c>
      <c r="E33" s="6" t="s">
        <v>16</v>
      </c>
      <c r="F33" s="6" t="s">
        <v>14</v>
      </c>
      <c r="G33">
        <v>375</v>
      </c>
      <c r="H33">
        <v>1.5</v>
      </c>
      <c r="I33" s="6" t="s">
        <v>23</v>
      </c>
      <c r="J33">
        <v>250</v>
      </c>
      <c r="K33" s="6" t="s">
        <v>12</v>
      </c>
    </row>
    <row r="34" spans="1:11" x14ac:dyDescent="0.3">
      <c r="A34" s="1">
        <v>46182</v>
      </c>
      <c r="B34">
        <v>10</v>
      </c>
      <c r="C34">
        <v>10004</v>
      </c>
      <c r="D34" s="6" t="s">
        <v>15</v>
      </c>
      <c r="E34" s="6" t="s">
        <v>10</v>
      </c>
      <c r="F34" s="6" t="s">
        <v>14</v>
      </c>
      <c r="G34">
        <v>300</v>
      </c>
      <c r="H34">
        <v>3</v>
      </c>
      <c r="I34" s="6" t="s">
        <v>22</v>
      </c>
      <c r="J34">
        <v>100</v>
      </c>
      <c r="K34" s="6" t="s">
        <v>12</v>
      </c>
    </row>
    <row r="35" spans="1:11" x14ac:dyDescent="0.3">
      <c r="A35" s="1">
        <v>46057</v>
      </c>
      <c r="B35">
        <v>23</v>
      </c>
      <c r="C35">
        <v>10003</v>
      </c>
      <c r="D35" s="6" t="s">
        <v>15</v>
      </c>
      <c r="E35" s="6" t="s">
        <v>10</v>
      </c>
      <c r="F35" s="6" t="s">
        <v>14</v>
      </c>
      <c r="G35">
        <v>300</v>
      </c>
      <c r="H35">
        <v>3</v>
      </c>
      <c r="I35" s="6" t="s">
        <v>22</v>
      </c>
      <c r="J35">
        <v>100</v>
      </c>
      <c r="K35" s="6" t="s">
        <v>12</v>
      </c>
    </row>
    <row r="36" spans="1:11" x14ac:dyDescent="0.3">
      <c r="A36" s="1">
        <v>46125</v>
      </c>
      <c r="B36">
        <v>54</v>
      </c>
      <c r="C36">
        <v>10006</v>
      </c>
      <c r="D36" s="6" t="s">
        <v>15</v>
      </c>
      <c r="E36" s="6" t="s">
        <v>16</v>
      </c>
      <c r="F36" s="6" t="s">
        <v>14</v>
      </c>
      <c r="G36">
        <v>300</v>
      </c>
      <c r="H36">
        <v>3</v>
      </c>
      <c r="I36" s="6" t="s">
        <v>22</v>
      </c>
      <c r="J36">
        <v>100</v>
      </c>
      <c r="K36" s="6" t="s">
        <v>12</v>
      </c>
    </row>
    <row r="37" spans="1:11" x14ac:dyDescent="0.3">
      <c r="A37" s="1">
        <v>46043</v>
      </c>
      <c r="B37">
        <v>12</v>
      </c>
      <c r="C37">
        <v>10006</v>
      </c>
      <c r="D37" s="6" t="s">
        <v>15</v>
      </c>
      <c r="E37" s="6" t="s">
        <v>16</v>
      </c>
      <c r="F37" s="6" t="s">
        <v>14</v>
      </c>
      <c r="G37">
        <v>250</v>
      </c>
      <c r="H37">
        <v>2.5</v>
      </c>
      <c r="I37" s="6" t="s">
        <v>22</v>
      </c>
      <c r="J37">
        <v>100</v>
      </c>
      <c r="K37" s="6" t="s">
        <v>12</v>
      </c>
    </row>
    <row r="38" spans="1:11" x14ac:dyDescent="0.3">
      <c r="A38" s="1">
        <v>46135</v>
      </c>
      <c r="B38">
        <v>63</v>
      </c>
      <c r="C38">
        <v>10001</v>
      </c>
      <c r="D38" s="6" t="s">
        <v>15</v>
      </c>
      <c r="E38" s="6" t="s">
        <v>10</v>
      </c>
      <c r="F38" s="6" t="s">
        <v>11</v>
      </c>
      <c r="G38">
        <v>250</v>
      </c>
      <c r="H38">
        <v>1</v>
      </c>
      <c r="I38" s="6" t="s">
        <v>23</v>
      </c>
      <c r="J38">
        <v>250</v>
      </c>
      <c r="K38" s="6" t="s">
        <v>12</v>
      </c>
    </row>
    <row r="39" spans="1:11" x14ac:dyDescent="0.3">
      <c r="A39" s="1">
        <v>46065</v>
      </c>
      <c r="B39">
        <v>95</v>
      </c>
      <c r="C39">
        <v>10002</v>
      </c>
      <c r="D39" s="6" t="s">
        <v>15</v>
      </c>
      <c r="E39" s="6" t="s">
        <v>16</v>
      </c>
      <c r="F39" s="6" t="s">
        <v>14</v>
      </c>
      <c r="G39">
        <v>250</v>
      </c>
      <c r="H39">
        <v>2.5</v>
      </c>
      <c r="I39" s="6" t="s">
        <v>22</v>
      </c>
      <c r="J39">
        <v>100</v>
      </c>
      <c r="K39" s="6" t="s">
        <v>12</v>
      </c>
    </row>
    <row r="40" spans="1:11" x14ac:dyDescent="0.3">
      <c r="A40" s="1">
        <v>46142</v>
      </c>
      <c r="B40">
        <v>84</v>
      </c>
      <c r="C40">
        <v>10003</v>
      </c>
      <c r="D40" s="6" t="s">
        <v>15</v>
      </c>
      <c r="E40" s="6" t="s">
        <v>16</v>
      </c>
      <c r="F40" s="6" t="s">
        <v>11</v>
      </c>
      <c r="G40">
        <v>200</v>
      </c>
      <c r="H40">
        <v>2</v>
      </c>
      <c r="I40" s="6" t="s">
        <v>22</v>
      </c>
      <c r="J40">
        <v>100</v>
      </c>
      <c r="K40" s="6" t="s">
        <v>12</v>
      </c>
    </row>
    <row r="41" spans="1:11" x14ac:dyDescent="0.3">
      <c r="A41" s="1">
        <v>46066</v>
      </c>
      <c r="B41">
        <v>33</v>
      </c>
      <c r="C41">
        <v>10001</v>
      </c>
      <c r="D41" s="6" t="s">
        <v>15</v>
      </c>
      <c r="E41" s="6" t="s">
        <v>16</v>
      </c>
      <c r="F41" s="6" t="s">
        <v>14</v>
      </c>
      <c r="G41">
        <v>150</v>
      </c>
      <c r="H41">
        <v>3</v>
      </c>
      <c r="I41" s="6" t="s">
        <v>22</v>
      </c>
      <c r="J41">
        <v>50</v>
      </c>
      <c r="K41" s="6" t="s">
        <v>12</v>
      </c>
    </row>
    <row r="42" spans="1:11" x14ac:dyDescent="0.3">
      <c r="A42" s="1">
        <v>46202</v>
      </c>
      <c r="B42">
        <v>100</v>
      </c>
      <c r="C42">
        <v>10004</v>
      </c>
      <c r="D42" s="6" t="s">
        <v>15</v>
      </c>
      <c r="E42" s="6" t="s">
        <v>16</v>
      </c>
      <c r="F42" s="6" t="s">
        <v>14</v>
      </c>
      <c r="G42">
        <v>150</v>
      </c>
      <c r="H42">
        <v>1.5</v>
      </c>
      <c r="I42" s="6" t="s">
        <v>23</v>
      </c>
      <c r="J42">
        <v>100</v>
      </c>
      <c r="K42" s="6" t="s">
        <v>12</v>
      </c>
    </row>
    <row r="43" spans="1:11" x14ac:dyDescent="0.3">
      <c r="A43" s="1">
        <v>46170</v>
      </c>
      <c r="B43">
        <v>3</v>
      </c>
      <c r="C43">
        <v>10004</v>
      </c>
      <c r="D43" s="6" t="s">
        <v>15</v>
      </c>
      <c r="E43" s="6" t="s">
        <v>16</v>
      </c>
      <c r="F43" s="6" t="s">
        <v>14</v>
      </c>
      <c r="G43">
        <v>100</v>
      </c>
      <c r="H43">
        <v>1</v>
      </c>
      <c r="I43" s="6" t="s">
        <v>23</v>
      </c>
      <c r="J43">
        <v>100</v>
      </c>
      <c r="K43" s="6" t="s">
        <v>12</v>
      </c>
    </row>
    <row r="44" spans="1:11" x14ac:dyDescent="0.3">
      <c r="A44" s="1">
        <v>46174</v>
      </c>
      <c r="B44">
        <v>7</v>
      </c>
      <c r="C44">
        <v>10006</v>
      </c>
      <c r="D44" s="6" t="s">
        <v>15</v>
      </c>
      <c r="E44" s="6" t="s">
        <v>10</v>
      </c>
      <c r="F44" s="6" t="s">
        <v>14</v>
      </c>
      <c r="G44">
        <v>100</v>
      </c>
      <c r="H44">
        <v>2</v>
      </c>
      <c r="I44" s="6" t="s">
        <v>22</v>
      </c>
      <c r="J44">
        <v>50</v>
      </c>
      <c r="K44" s="6" t="s">
        <v>12</v>
      </c>
    </row>
    <row r="45" spans="1:11" x14ac:dyDescent="0.3">
      <c r="A45" s="1">
        <v>46041</v>
      </c>
      <c r="B45">
        <v>20</v>
      </c>
      <c r="C45">
        <v>10006</v>
      </c>
      <c r="D45" s="6" t="s">
        <v>15</v>
      </c>
      <c r="E45" s="6" t="s">
        <v>10</v>
      </c>
      <c r="F45" s="6" t="s">
        <v>14</v>
      </c>
      <c r="G45">
        <v>100</v>
      </c>
      <c r="H45">
        <v>1</v>
      </c>
      <c r="I45" s="6" t="s">
        <v>23</v>
      </c>
      <c r="J45">
        <v>100</v>
      </c>
      <c r="K45" s="6" t="s">
        <v>12</v>
      </c>
    </row>
    <row r="46" spans="1:11" x14ac:dyDescent="0.3">
      <c r="A46" s="1">
        <v>46133</v>
      </c>
      <c r="B46">
        <v>62</v>
      </c>
      <c r="C46">
        <v>10004</v>
      </c>
      <c r="D46" s="6" t="s">
        <v>15</v>
      </c>
      <c r="E46" s="6" t="s">
        <v>16</v>
      </c>
      <c r="F46" s="6" t="s">
        <v>11</v>
      </c>
      <c r="G46">
        <v>50</v>
      </c>
      <c r="H46">
        <v>1</v>
      </c>
      <c r="I46" s="6" t="s">
        <v>23</v>
      </c>
      <c r="J46">
        <v>50</v>
      </c>
      <c r="K46" s="6" t="s">
        <v>12</v>
      </c>
    </row>
    <row r="47" spans="1:11" x14ac:dyDescent="0.3">
      <c r="A47" s="1">
        <v>46177</v>
      </c>
      <c r="B47">
        <v>24</v>
      </c>
      <c r="C47">
        <v>10006</v>
      </c>
      <c r="D47" s="6" t="s">
        <v>15</v>
      </c>
      <c r="E47" s="6" t="s">
        <v>10</v>
      </c>
      <c r="F47" s="6" t="s">
        <v>14</v>
      </c>
      <c r="G47">
        <v>-25</v>
      </c>
      <c r="H47">
        <v>-0.5</v>
      </c>
      <c r="I47" s="6" t="s">
        <v>23</v>
      </c>
      <c r="J47">
        <v>50</v>
      </c>
      <c r="K47" s="6" t="s">
        <v>17</v>
      </c>
    </row>
    <row r="48" spans="1:11" x14ac:dyDescent="0.3">
      <c r="A48" s="1">
        <v>46119</v>
      </c>
      <c r="B48">
        <v>14</v>
      </c>
      <c r="C48">
        <v>10001</v>
      </c>
      <c r="D48" s="6" t="s">
        <v>15</v>
      </c>
      <c r="E48" s="6" t="s">
        <v>10</v>
      </c>
      <c r="F48" s="6" t="s">
        <v>11</v>
      </c>
      <c r="G48">
        <v>-50</v>
      </c>
      <c r="H48">
        <v>-0.5</v>
      </c>
      <c r="I48" s="6" t="s">
        <v>23</v>
      </c>
      <c r="J48">
        <v>100</v>
      </c>
      <c r="K48" s="6" t="s">
        <v>17</v>
      </c>
    </row>
    <row r="49" spans="1:11" x14ac:dyDescent="0.3">
      <c r="A49" s="1">
        <v>46095</v>
      </c>
      <c r="B49">
        <v>49</v>
      </c>
      <c r="C49">
        <v>10001</v>
      </c>
      <c r="D49" s="6" t="s">
        <v>15</v>
      </c>
      <c r="E49" s="6" t="s">
        <v>10</v>
      </c>
      <c r="F49" s="6" t="s">
        <v>11</v>
      </c>
      <c r="G49">
        <v>-50</v>
      </c>
      <c r="H49">
        <v>-0.5</v>
      </c>
      <c r="I49" s="6" t="s">
        <v>23</v>
      </c>
      <c r="J49">
        <v>100</v>
      </c>
      <c r="K49" s="6" t="s">
        <v>17</v>
      </c>
    </row>
    <row r="50" spans="1:11" x14ac:dyDescent="0.3">
      <c r="A50" s="1">
        <v>46128</v>
      </c>
      <c r="B50">
        <v>79</v>
      </c>
      <c r="C50">
        <v>10001</v>
      </c>
      <c r="D50" s="6" t="s">
        <v>15</v>
      </c>
      <c r="E50" s="6" t="s">
        <v>10</v>
      </c>
      <c r="F50" s="6" t="s">
        <v>14</v>
      </c>
      <c r="G50">
        <v>-50</v>
      </c>
      <c r="H50">
        <v>-1</v>
      </c>
      <c r="I50" s="6" t="s">
        <v>23</v>
      </c>
      <c r="J50">
        <v>50</v>
      </c>
      <c r="K50" s="6" t="s">
        <v>17</v>
      </c>
    </row>
    <row r="51" spans="1:11" x14ac:dyDescent="0.3">
      <c r="A51" s="1">
        <v>46099</v>
      </c>
      <c r="B51">
        <v>40</v>
      </c>
      <c r="C51">
        <v>10005</v>
      </c>
      <c r="D51" s="6" t="s">
        <v>15</v>
      </c>
      <c r="E51" s="6" t="s">
        <v>16</v>
      </c>
      <c r="F51" s="6" t="s">
        <v>11</v>
      </c>
      <c r="G51">
        <v>-75</v>
      </c>
      <c r="H51">
        <v>-1.5</v>
      </c>
      <c r="I51" s="6" t="s">
        <v>23</v>
      </c>
      <c r="J51">
        <v>50</v>
      </c>
      <c r="K51" s="6" t="s">
        <v>17</v>
      </c>
    </row>
    <row r="52" spans="1:11" x14ac:dyDescent="0.3">
      <c r="A52" s="1">
        <v>46164</v>
      </c>
      <c r="B52">
        <v>39</v>
      </c>
      <c r="C52">
        <v>10003</v>
      </c>
      <c r="D52" s="6" t="s">
        <v>15</v>
      </c>
      <c r="E52" s="6" t="s">
        <v>16</v>
      </c>
      <c r="F52" s="6" t="s">
        <v>14</v>
      </c>
      <c r="G52">
        <v>-100</v>
      </c>
      <c r="H52">
        <v>-0.5</v>
      </c>
      <c r="I52" s="6" t="s">
        <v>23</v>
      </c>
      <c r="J52">
        <v>200</v>
      </c>
      <c r="K52" s="6" t="s">
        <v>17</v>
      </c>
    </row>
    <row r="53" spans="1:11" x14ac:dyDescent="0.3">
      <c r="A53" s="1">
        <v>46135</v>
      </c>
      <c r="B53">
        <v>29</v>
      </c>
      <c r="C53">
        <v>10002</v>
      </c>
      <c r="D53" s="6" t="s">
        <v>15</v>
      </c>
      <c r="E53" s="6" t="s">
        <v>16</v>
      </c>
      <c r="F53" s="6" t="s">
        <v>11</v>
      </c>
      <c r="G53">
        <v>-125</v>
      </c>
      <c r="H53">
        <v>-0.5</v>
      </c>
      <c r="I53" s="6" t="s">
        <v>23</v>
      </c>
      <c r="J53">
        <v>250</v>
      </c>
      <c r="K53" s="6" t="s">
        <v>17</v>
      </c>
    </row>
    <row r="54" spans="1:11" x14ac:dyDescent="0.3">
      <c r="A54" s="1">
        <v>46042</v>
      </c>
      <c r="B54">
        <v>69</v>
      </c>
      <c r="C54">
        <v>10005</v>
      </c>
      <c r="D54" s="6" t="s">
        <v>15</v>
      </c>
      <c r="E54" s="6" t="s">
        <v>16</v>
      </c>
      <c r="F54" s="6" t="s">
        <v>11</v>
      </c>
      <c r="G54">
        <v>-125</v>
      </c>
      <c r="H54">
        <v>-0.5</v>
      </c>
      <c r="I54" s="6" t="s">
        <v>23</v>
      </c>
      <c r="J54">
        <v>250</v>
      </c>
      <c r="K54" s="6" t="s">
        <v>17</v>
      </c>
    </row>
    <row r="55" spans="1:11" x14ac:dyDescent="0.3">
      <c r="A55" s="1">
        <v>46165</v>
      </c>
      <c r="B55">
        <v>22</v>
      </c>
      <c r="C55">
        <v>10006</v>
      </c>
      <c r="D55" s="6" t="s">
        <v>15</v>
      </c>
      <c r="E55" s="6" t="s">
        <v>16</v>
      </c>
      <c r="F55" s="6" t="s">
        <v>11</v>
      </c>
      <c r="G55">
        <v>-250</v>
      </c>
      <c r="H55">
        <v>-1</v>
      </c>
      <c r="I55" s="6" t="s">
        <v>23</v>
      </c>
      <c r="J55">
        <v>250</v>
      </c>
      <c r="K55" s="6" t="s">
        <v>17</v>
      </c>
    </row>
    <row r="56" spans="1:11" x14ac:dyDescent="0.3">
      <c r="A56" s="1">
        <v>46057</v>
      </c>
      <c r="B56">
        <v>36</v>
      </c>
      <c r="C56">
        <v>10004</v>
      </c>
      <c r="D56" s="6" t="s">
        <v>15</v>
      </c>
      <c r="E56" s="6" t="s">
        <v>10</v>
      </c>
      <c r="F56" s="6" t="s">
        <v>14</v>
      </c>
      <c r="G56">
        <v>-300</v>
      </c>
      <c r="H56">
        <v>-1.5</v>
      </c>
      <c r="I56" s="6" t="s">
        <v>23</v>
      </c>
      <c r="J56">
        <v>200</v>
      </c>
      <c r="K56" s="6" t="s">
        <v>17</v>
      </c>
    </row>
    <row r="57" spans="1:11" x14ac:dyDescent="0.3">
      <c r="A57" s="1">
        <v>46027</v>
      </c>
      <c r="B57">
        <v>32</v>
      </c>
      <c r="C57">
        <v>10003</v>
      </c>
      <c r="D57" s="6" t="s">
        <v>13</v>
      </c>
      <c r="E57" s="6" t="s">
        <v>16</v>
      </c>
      <c r="F57" s="6" t="s">
        <v>11</v>
      </c>
      <c r="G57">
        <v>750</v>
      </c>
      <c r="H57">
        <v>3</v>
      </c>
      <c r="I57" s="6" t="s">
        <v>22</v>
      </c>
      <c r="J57">
        <v>250</v>
      </c>
      <c r="K57" s="6" t="s">
        <v>12</v>
      </c>
    </row>
    <row r="58" spans="1:11" x14ac:dyDescent="0.3">
      <c r="A58" s="1">
        <v>46191</v>
      </c>
      <c r="B58">
        <v>73</v>
      </c>
      <c r="C58">
        <v>10002</v>
      </c>
      <c r="D58" s="6" t="s">
        <v>13</v>
      </c>
      <c r="E58" s="6" t="s">
        <v>10</v>
      </c>
      <c r="F58" s="6" t="s">
        <v>11</v>
      </c>
      <c r="G58">
        <v>500</v>
      </c>
      <c r="H58">
        <v>2.5</v>
      </c>
      <c r="I58" s="6" t="s">
        <v>22</v>
      </c>
      <c r="J58">
        <v>200</v>
      </c>
      <c r="K58" s="6" t="s">
        <v>12</v>
      </c>
    </row>
    <row r="59" spans="1:11" x14ac:dyDescent="0.3">
      <c r="A59" s="1">
        <v>46081</v>
      </c>
      <c r="B59">
        <v>74</v>
      </c>
      <c r="C59">
        <v>10004</v>
      </c>
      <c r="D59" s="6" t="s">
        <v>13</v>
      </c>
      <c r="E59" s="6" t="s">
        <v>16</v>
      </c>
      <c r="F59" s="6" t="s">
        <v>11</v>
      </c>
      <c r="G59">
        <v>500</v>
      </c>
      <c r="H59">
        <v>2.5</v>
      </c>
      <c r="I59" s="6" t="s">
        <v>22</v>
      </c>
      <c r="J59">
        <v>200</v>
      </c>
      <c r="K59" s="6" t="s">
        <v>12</v>
      </c>
    </row>
    <row r="60" spans="1:11" x14ac:dyDescent="0.3">
      <c r="A60" s="1">
        <v>46203</v>
      </c>
      <c r="B60">
        <v>87</v>
      </c>
      <c r="C60">
        <v>10001</v>
      </c>
      <c r="D60" s="6" t="s">
        <v>13</v>
      </c>
      <c r="E60" s="6" t="s">
        <v>16</v>
      </c>
      <c r="F60" s="6" t="s">
        <v>11</v>
      </c>
      <c r="G60">
        <v>375</v>
      </c>
      <c r="H60">
        <v>1.5</v>
      </c>
      <c r="I60" s="6" t="s">
        <v>23</v>
      </c>
      <c r="J60">
        <v>250</v>
      </c>
      <c r="K60" s="6" t="s">
        <v>12</v>
      </c>
    </row>
    <row r="61" spans="1:11" x14ac:dyDescent="0.3">
      <c r="A61" s="1">
        <v>46167</v>
      </c>
      <c r="B61">
        <v>65</v>
      </c>
      <c r="C61">
        <v>10004</v>
      </c>
      <c r="D61" s="6" t="s">
        <v>13</v>
      </c>
      <c r="E61" s="6" t="s">
        <v>10</v>
      </c>
      <c r="F61" s="6" t="s">
        <v>11</v>
      </c>
      <c r="G61">
        <v>300</v>
      </c>
      <c r="H61">
        <v>1.5</v>
      </c>
      <c r="I61" s="6" t="s">
        <v>23</v>
      </c>
      <c r="J61">
        <v>200</v>
      </c>
      <c r="K61" s="6" t="s">
        <v>12</v>
      </c>
    </row>
    <row r="62" spans="1:11" x14ac:dyDescent="0.3">
      <c r="A62" s="1">
        <v>46173</v>
      </c>
      <c r="B62">
        <v>26</v>
      </c>
      <c r="C62">
        <v>10004</v>
      </c>
      <c r="D62" s="6" t="s">
        <v>13</v>
      </c>
      <c r="E62" s="6" t="s">
        <v>10</v>
      </c>
      <c r="F62" s="6" t="s">
        <v>11</v>
      </c>
      <c r="G62">
        <v>250</v>
      </c>
      <c r="H62">
        <v>1</v>
      </c>
      <c r="I62" s="6" t="s">
        <v>23</v>
      </c>
      <c r="J62">
        <v>250</v>
      </c>
      <c r="K62" s="6" t="s">
        <v>12</v>
      </c>
    </row>
    <row r="63" spans="1:11" x14ac:dyDescent="0.3">
      <c r="A63" s="1">
        <v>46120</v>
      </c>
      <c r="B63">
        <v>55</v>
      </c>
      <c r="C63">
        <v>10005</v>
      </c>
      <c r="D63" s="6" t="s">
        <v>13</v>
      </c>
      <c r="E63" s="6" t="s">
        <v>10</v>
      </c>
      <c r="F63" s="6" t="s">
        <v>11</v>
      </c>
      <c r="G63">
        <v>200</v>
      </c>
      <c r="H63">
        <v>1</v>
      </c>
      <c r="I63" s="6" t="s">
        <v>23</v>
      </c>
      <c r="J63">
        <v>200</v>
      </c>
      <c r="K63" s="6" t="s">
        <v>12</v>
      </c>
    </row>
    <row r="64" spans="1:11" x14ac:dyDescent="0.3">
      <c r="A64" s="1">
        <v>46140</v>
      </c>
      <c r="B64">
        <v>59</v>
      </c>
      <c r="C64">
        <v>10006</v>
      </c>
      <c r="D64" s="6" t="s">
        <v>13</v>
      </c>
      <c r="E64" s="6" t="s">
        <v>10</v>
      </c>
      <c r="F64" s="6" t="s">
        <v>11</v>
      </c>
      <c r="G64">
        <v>200</v>
      </c>
      <c r="H64">
        <v>1</v>
      </c>
      <c r="I64" s="6" t="s">
        <v>23</v>
      </c>
      <c r="J64">
        <v>200</v>
      </c>
      <c r="K64" s="6" t="s">
        <v>12</v>
      </c>
    </row>
    <row r="65" spans="1:11" x14ac:dyDescent="0.3">
      <c r="A65" s="1">
        <v>46160</v>
      </c>
      <c r="B65">
        <v>66</v>
      </c>
      <c r="C65">
        <v>10004</v>
      </c>
      <c r="D65" s="6" t="s">
        <v>13</v>
      </c>
      <c r="E65" s="6" t="s">
        <v>10</v>
      </c>
      <c r="F65" s="6" t="s">
        <v>11</v>
      </c>
      <c r="G65">
        <v>200</v>
      </c>
      <c r="H65">
        <v>2</v>
      </c>
      <c r="I65" s="6" t="s">
        <v>22</v>
      </c>
      <c r="J65">
        <v>100</v>
      </c>
      <c r="K65" s="6" t="s">
        <v>12</v>
      </c>
    </row>
    <row r="66" spans="1:11" x14ac:dyDescent="0.3">
      <c r="A66" s="1">
        <v>46178</v>
      </c>
      <c r="B66">
        <v>2</v>
      </c>
      <c r="C66">
        <v>10001</v>
      </c>
      <c r="D66" s="6" t="s">
        <v>13</v>
      </c>
      <c r="E66" s="6" t="s">
        <v>10</v>
      </c>
      <c r="F66" s="6" t="s">
        <v>14</v>
      </c>
      <c r="G66">
        <v>150</v>
      </c>
      <c r="H66">
        <v>3</v>
      </c>
      <c r="I66" s="6" t="s">
        <v>22</v>
      </c>
      <c r="J66">
        <v>50</v>
      </c>
      <c r="K66" s="6" t="s">
        <v>12</v>
      </c>
    </row>
    <row r="67" spans="1:11" x14ac:dyDescent="0.3">
      <c r="A67" s="1">
        <v>46091</v>
      </c>
      <c r="B67">
        <v>94</v>
      </c>
      <c r="C67">
        <v>10004</v>
      </c>
      <c r="D67" s="6" t="s">
        <v>13</v>
      </c>
      <c r="E67" s="6" t="s">
        <v>10</v>
      </c>
      <c r="F67" s="6" t="s">
        <v>14</v>
      </c>
      <c r="G67">
        <v>150</v>
      </c>
      <c r="H67">
        <v>3</v>
      </c>
      <c r="I67" s="6" t="s">
        <v>22</v>
      </c>
      <c r="J67">
        <v>50</v>
      </c>
      <c r="K67" s="6" t="s">
        <v>12</v>
      </c>
    </row>
    <row r="68" spans="1:11" x14ac:dyDescent="0.3">
      <c r="A68" s="1">
        <v>46076</v>
      </c>
      <c r="B68">
        <v>57</v>
      </c>
      <c r="C68">
        <v>10005</v>
      </c>
      <c r="D68" s="6" t="s">
        <v>13</v>
      </c>
      <c r="E68" s="6" t="s">
        <v>16</v>
      </c>
      <c r="F68" s="6" t="s">
        <v>14</v>
      </c>
      <c r="G68">
        <v>125</v>
      </c>
      <c r="H68">
        <v>2.5</v>
      </c>
      <c r="I68" s="6" t="s">
        <v>22</v>
      </c>
      <c r="J68">
        <v>50</v>
      </c>
      <c r="K68" s="6" t="s">
        <v>12</v>
      </c>
    </row>
    <row r="69" spans="1:11" x14ac:dyDescent="0.3">
      <c r="A69" s="1">
        <v>46205</v>
      </c>
      <c r="B69">
        <v>4</v>
      </c>
      <c r="C69">
        <v>10002</v>
      </c>
      <c r="D69" s="6" t="s">
        <v>13</v>
      </c>
      <c r="E69" s="6" t="s">
        <v>16</v>
      </c>
      <c r="F69" s="6" t="s">
        <v>11</v>
      </c>
      <c r="G69">
        <v>100</v>
      </c>
      <c r="H69">
        <v>2</v>
      </c>
      <c r="I69" s="6" t="s">
        <v>22</v>
      </c>
      <c r="J69">
        <v>50</v>
      </c>
      <c r="K69" s="6" t="s">
        <v>12</v>
      </c>
    </row>
    <row r="70" spans="1:11" x14ac:dyDescent="0.3">
      <c r="A70" s="1">
        <v>46117</v>
      </c>
      <c r="B70">
        <v>27</v>
      </c>
      <c r="C70">
        <v>10006</v>
      </c>
      <c r="D70" s="6" t="s">
        <v>13</v>
      </c>
      <c r="E70" s="6" t="s">
        <v>16</v>
      </c>
      <c r="F70" s="6" t="s">
        <v>11</v>
      </c>
      <c r="G70">
        <v>50</v>
      </c>
      <c r="H70">
        <v>1</v>
      </c>
      <c r="I70" s="6" t="s">
        <v>23</v>
      </c>
      <c r="J70">
        <v>50</v>
      </c>
      <c r="K70" s="6" t="s">
        <v>12</v>
      </c>
    </row>
    <row r="71" spans="1:11" x14ac:dyDescent="0.3">
      <c r="A71" s="1">
        <v>46069</v>
      </c>
      <c r="B71">
        <v>72</v>
      </c>
      <c r="C71">
        <v>10004</v>
      </c>
      <c r="D71" s="6" t="s">
        <v>13</v>
      </c>
      <c r="E71" s="6" t="s">
        <v>10</v>
      </c>
      <c r="F71" s="6" t="s">
        <v>14</v>
      </c>
      <c r="G71">
        <v>50</v>
      </c>
      <c r="H71">
        <v>1</v>
      </c>
      <c r="I71" s="6" t="s">
        <v>23</v>
      </c>
      <c r="J71">
        <v>50</v>
      </c>
      <c r="K71" s="6" t="s">
        <v>12</v>
      </c>
    </row>
    <row r="72" spans="1:11" x14ac:dyDescent="0.3">
      <c r="A72" s="1">
        <v>46047</v>
      </c>
      <c r="B72">
        <v>75</v>
      </c>
      <c r="C72">
        <v>10003</v>
      </c>
      <c r="D72" s="6" t="s">
        <v>13</v>
      </c>
      <c r="E72" s="6" t="s">
        <v>10</v>
      </c>
      <c r="F72" s="6" t="s">
        <v>14</v>
      </c>
      <c r="G72">
        <v>50</v>
      </c>
      <c r="H72">
        <v>1</v>
      </c>
      <c r="I72" s="6" t="s">
        <v>23</v>
      </c>
      <c r="J72">
        <v>50</v>
      </c>
      <c r="K72" s="6" t="s">
        <v>12</v>
      </c>
    </row>
    <row r="73" spans="1:11" x14ac:dyDescent="0.3">
      <c r="A73" s="1">
        <v>46067</v>
      </c>
      <c r="B73">
        <v>17</v>
      </c>
      <c r="C73">
        <v>10005</v>
      </c>
      <c r="D73" s="6" t="s">
        <v>13</v>
      </c>
      <c r="E73" s="6" t="s">
        <v>10</v>
      </c>
      <c r="F73" s="6" t="s">
        <v>11</v>
      </c>
      <c r="G73">
        <v>-75</v>
      </c>
      <c r="H73">
        <v>-1.5</v>
      </c>
      <c r="I73" s="6" t="s">
        <v>23</v>
      </c>
      <c r="J73">
        <v>50</v>
      </c>
      <c r="K73" s="6" t="s">
        <v>17</v>
      </c>
    </row>
    <row r="74" spans="1:11" x14ac:dyDescent="0.3">
      <c r="A74" s="1">
        <v>46054</v>
      </c>
      <c r="B74">
        <v>53</v>
      </c>
      <c r="C74">
        <v>10004</v>
      </c>
      <c r="D74" s="6" t="s">
        <v>13</v>
      </c>
      <c r="E74" s="6" t="s">
        <v>16</v>
      </c>
      <c r="F74" s="6" t="s">
        <v>11</v>
      </c>
      <c r="G74">
        <v>-75</v>
      </c>
      <c r="H74">
        <v>-1.5</v>
      </c>
      <c r="I74" s="6" t="s">
        <v>23</v>
      </c>
      <c r="J74">
        <v>50</v>
      </c>
      <c r="K74" s="6" t="s">
        <v>17</v>
      </c>
    </row>
    <row r="75" spans="1:11" x14ac:dyDescent="0.3">
      <c r="A75" s="1">
        <v>46059</v>
      </c>
      <c r="B75">
        <v>21</v>
      </c>
      <c r="C75">
        <v>10005</v>
      </c>
      <c r="D75" s="6" t="s">
        <v>13</v>
      </c>
      <c r="E75" s="6" t="s">
        <v>10</v>
      </c>
      <c r="F75" s="6" t="s">
        <v>11</v>
      </c>
      <c r="G75">
        <v>-100</v>
      </c>
      <c r="H75">
        <v>-1</v>
      </c>
      <c r="I75" s="6" t="s">
        <v>23</v>
      </c>
      <c r="J75">
        <v>100</v>
      </c>
      <c r="K75" s="6" t="s">
        <v>17</v>
      </c>
    </row>
    <row r="76" spans="1:11" x14ac:dyDescent="0.3">
      <c r="A76" s="1">
        <v>46072</v>
      </c>
      <c r="B76">
        <v>48</v>
      </c>
      <c r="C76">
        <v>10006</v>
      </c>
      <c r="D76" s="6" t="s">
        <v>13</v>
      </c>
      <c r="E76" s="6" t="s">
        <v>10</v>
      </c>
      <c r="F76" s="6" t="s">
        <v>14</v>
      </c>
      <c r="G76">
        <v>-100</v>
      </c>
      <c r="H76">
        <v>-1</v>
      </c>
      <c r="I76" s="6" t="s">
        <v>23</v>
      </c>
      <c r="J76">
        <v>100</v>
      </c>
      <c r="K76" s="6" t="s">
        <v>17</v>
      </c>
    </row>
    <row r="77" spans="1:11" x14ac:dyDescent="0.3">
      <c r="A77" s="1">
        <v>46146</v>
      </c>
      <c r="B77">
        <v>83</v>
      </c>
      <c r="C77">
        <v>10002</v>
      </c>
      <c r="D77" s="6" t="s">
        <v>13</v>
      </c>
      <c r="E77" s="6" t="s">
        <v>16</v>
      </c>
      <c r="F77" s="6" t="s">
        <v>11</v>
      </c>
      <c r="G77">
        <v>-100</v>
      </c>
      <c r="H77">
        <v>-0.5</v>
      </c>
      <c r="I77" s="6" t="s">
        <v>23</v>
      </c>
      <c r="J77">
        <v>200</v>
      </c>
      <c r="K77" s="6" t="s">
        <v>17</v>
      </c>
    </row>
    <row r="78" spans="1:11" x14ac:dyDescent="0.3">
      <c r="A78" s="1">
        <v>46050</v>
      </c>
      <c r="B78">
        <v>5</v>
      </c>
      <c r="C78">
        <v>10003</v>
      </c>
      <c r="D78" s="6" t="s">
        <v>13</v>
      </c>
      <c r="E78" s="6" t="s">
        <v>10</v>
      </c>
      <c r="F78" s="6" t="s">
        <v>11</v>
      </c>
      <c r="G78">
        <v>-125</v>
      </c>
      <c r="H78">
        <v>-0.5</v>
      </c>
      <c r="I78" s="6" t="s">
        <v>23</v>
      </c>
      <c r="J78">
        <v>250</v>
      </c>
      <c r="K78" s="6" t="s">
        <v>17</v>
      </c>
    </row>
    <row r="79" spans="1:11" x14ac:dyDescent="0.3">
      <c r="A79" s="1">
        <v>46131</v>
      </c>
      <c r="B79">
        <v>31</v>
      </c>
      <c r="C79">
        <v>10004</v>
      </c>
      <c r="D79" s="6" t="s">
        <v>13</v>
      </c>
      <c r="E79" s="6" t="s">
        <v>16</v>
      </c>
      <c r="F79" s="6" t="s">
        <v>14</v>
      </c>
      <c r="G79">
        <v>-125</v>
      </c>
      <c r="H79">
        <v>-0.5</v>
      </c>
      <c r="I79" s="6" t="s">
        <v>23</v>
      </c>
      <c r="J79">
        <v>250</v>
      </c>
      <c r="K79" s="6" t="s">
        <v>17</v>
      </c>
    </row>
    <row r="80" spans="1:11" x14ac:dyDescent="0.3">
      <c r="A80" s="1">
        <v>46160</v>
      </c>
      <c r="B80">
        <v>96</v>
      </c>
      <c r="C80">
        <v>10003</v>
      </c>
      <c r="D80" s="6" t="s">
        <v>13</v>
      </c>
      <c r="E80" s="6" t="s">
        <v>16</v>
      </c>
      <c r="F80" s="6" t="s">
        <v>11</v>
      </c>
      <c r="G80">
        <v>-200</v>
      </c>
      <c r="H80">
        <v>-1</v>
      </c>
      <c r="I80" s="6" t="s">
        <v>23</v>
      </c>
      <c r="J80">
        <v>200</v>
      </c>
      <c r="K80" s="6" t="s">
        <v>17</v>
      </c>
    </row>
    <row r="81" spans="1:11" x14ac:dyDescent="0.3">
      <c r="A81" s="1">
        <v>46061</v>
      </c>
      <c r="B81">
        <v>64</v>
      </c>
      <c r="C81">
        <v>10005</v>
      </c>
      <c r="D81" s="6" t="s">
        <v>13</v>
      </c>
      <c r="E81" s="6" t="s">
        <v>16</v>
      </c>
      <c r="F81" s="6" t="s">
        <v>11</v>
      </c>
      <c r="G81">
        <v>-375</v>
      </c>
      <c r="H81">
        <v>-1.5</v>
      </c>
      <c r="I81" s="6" t="s">
        <v>23</v>
      </c>
      <c r="J81">
        <v>250</v>
      </c>
      <c r="K81" s="6" t="s">
        <v>17</v>
      </c>
    </row>
    <row r="82" spans="1:11" x14ac:dyDescent="0.3">
      <c r="A82" s="1">
        <v>46030</v>
      </c>
      <c r="B82">
        <v>81</v>
      </c>
      <c r="C82">
        <v>10004</v>
      </c>
      <c r="D82" s="6" t="s">
        <v>13</v>
      </c>
      <c r="E82" s="6" t="s">
        <v>16</v>
      </c>
      <c r="F82" s="6" t="s">
        <v>14</v>
      </c>
      <c r="G82">
        <v>-375</v>
      </c>
      <c r="H82">
        <v>-1.5</v>
      </c>
      <c r="I82" s="6" t="s">
        <v>23</v>
      </c>
      <c r="J82">
        <v>250</v>
      </c>
      <c r="K82" s="6" t="s">
        <v>17</v>
      </c>
    </row>
    <row r="83" spans="1:11" x14ac:dyDescent="0.3">
      <c r="A83" s="1">
        <v>46066</v>
      </c>
      <c r="B83">
        <v>82</v>
      </c>
      <c r="C83">
        <v>10005</v>
      </c>
      <c r="D83" s="6" t="s">
        <v>13</v>
      </c>
      <c r="E83" s="6" t="s">
        <v>10</v>
      </c>
      <c r="F83" s="6" t="s">
        <v>11</v>
      </c>
      <c r="G83">
        <v>-375</v>
      </c>
      <c r="H83">
        <v>-1.5</v>
      </c>
      <c r="I83" s="6" t="s">
        <v>23</v>
      </c>
      <c r="J83">
        <v>250</v>
      </c>
      <c r="K83" s="6" t="s">
        <v>17</v>
      </c>
    </row>
    <row r="84" spans="1:11" x14ac:dyDescent="0.3">
      <c r="A84" s="1">
        <v>46076</v>
      </c>
      <c r="B84">
        <v>90</v>
      </c>
      <c r="C84">
        <v>10002</v>
      </c>
      <c r="D84" s="6" t="s">
        <v>18</v>
      </c>
      <c r="E84" s="6" t="s">
        <v>10</v>
      </c>
      <c r="F84" s="6" t="s">
        <v>14</v>
      </c>
      <c r="G84">
        <v>500</v>
      </c>
      <c r="H84">
        <v>2.5</v>
      </c>
      <c r="I84" s="6" t="s">
        <v>22</v>
      </c>
      <c r="J84">
        <v>200</v>
      </c>
      <c r="K84" s="6" t="s">
        <v>12</v>
      </c>
    </row>
    <row r="85" spans="1:11" x14ac:dyDescent="0.3">
      <c r="A85" s="1">
        <v>46144</v>
      </c>
      <c r="B85">
        <v>50</v>
      </c>
      <c r="C85">
        <v>10002</v>
      </c>
      <c r="D85" s="6" t="s">
        <v>18</v>
      </c>
      <c r="E85" s="6" t="s">
        <v>16</v>
      </c>
      <c r="F85" s="6" t="s">
        <v>14</v>
      </c>
      <c r="G85">
        <v>375</v>
      </c>
      <c r="H85">
        <v>1.5</v>
      </c>
      <c r="I85" s="6" t="s">
        <v>23</v>
      </c>
      <c r="J85">
        <v>250</v>
      </c>
      <c r="K85" s="6" t="s">
        <v>12</v>
      </c>
    </row>
    <row r="86" spans="1:11" x14ac:dyDescent="0.3">
      <c r="A86" s="1">
        <v>46177</v>
      </c>
      <c r="B86">
        <v>91</v>
      </c>
      <c r="C86">
        <v>10003</v>
      </c>
      <c r="D86" s="6" t="s">
        <v>18</v>
      </c>
      <c r="E86" s="6" t="s">
        <v>10</v>
      </c>
      <c r="F86" s="6" t="s">
        <v>14</v>
      </c>
      <c r="G86">
        <v>300</v>
      </c>
      <c r="H86">
        <v>1.5</v>
      </c>
      <c r="I86" s="6" t="s">
        <v>23</v>
      </c>
      <c r="J86">
        <v>200</v>
      </c>
      <c r="K86" s="6" t="s">
        <v>12</v>
      </c>
    </row>
    <row r="87" spans="1:11" x14ac:dyDescent="0.3">
      <c r="A87" s="1">
        <v>46130</v>
      </c>
      <c r="B87">
        <v>28</v>
      </c>
      <c r="C87">
        <v>10002</v>
      </c>
      <c r="D87" s="6" t="s">
        <v>18</v>
      </c>
      <c r="E87" s="6" t="s">
        <v>10</v>
      </c>
      <c r="F87" s="6" t="s">
        <v>14</v>
      </c>
      <c r="G87">
        <v>250</v>
      </c>
      <c r="H87">
        <v>2.5</v>
      </c>
      <c r="I87" s="6" t="s">
        <v>22</v>
      </c>
      <c r="J87">
        <v>100</v>
      </c>
      <c r="K87" s="6" t="s">
        <v>12</v>
      </c>
    </row>
    <row r="88" spans="1:11" x14ac:dyDescent="0.3">
      <c r="A88" s="1">
        <v>46096</v>
      </c>
      <c r="B88">
        <v>67</v>
      </c>
      <c r="C88">
        <v>10002</v>
      </c>
      <c r="D88" s="6" t="s">
        <v>18</v>
      </c>
      <c r="E88" s="6" t="s">
        <v>16</v>
      </c>
      <c r="F88" s="6" t="s">
        <v>14</v>
      </c>
      <c r="G88">
        <v>250</v>
      </c>
      <c r="H88">
        <v>2.5</v>
      </c>
      <c r="I88" s="6" t="s">
        <v>22</v>
      </c>
      <c r="J88">
        <v>100</v>
      </c>
      <c r="K88" s="6" t="s">
        <v>12</v>
      </c>
    </row>
    <row r="89" spans="1:11" x14ac:dyDescent="0.3">
      <c r="A89" s="1">
        <v>46158</v>
      </c>
      <c r="B89">
        <v>60</v>
      </c>
      <c r="C89">
        <v>10006</v>
      </c>
      <c r="D89" s="6" t="s">
        <v>18</v>
      </c>
      <c r="E89" s="6" t="s">
        <v>10</v>
      </c>
      <c r="F89" s="6" t="s">
        <v>14</v>
      </c>
      <c r="G89">
        <v>150</v>
      </c>
      <c r="H89">
        <v>1.5</v>
      </c>
      <c r="I89" s="6" t="s">
        <v>23</v>
      </c>
      <c r="J89">
        <v>100</v>
      </c>
      <c r="K89" s="6" t="s">
        <v>12</v>
      </c>
    </row>
    <row r="90" spans="1:11" x14ac:dyDescent="0.3">
      <c r="A90" s="1">
        <v>46197</v>
      </c>
      <c r="B90">
        <v>41</v>
      </c>
      <c r="C90">
        <v>10003</v>
      </c>
      <c r="D90" s="6" t="s">
        <v>18</v>
      </c>
      <c r="E90" s="6" t="s">
        <v>10</v>
      </c>
      <c r="F90" s="6" t="s">
        <v>14</v>
      </c>
      <c r="G90">
        <v>100</v>
      </c>
      <c r="H90">
        <v>1</v>
      </c>
      <c r="I90" s="6" t="s">
        <v>23</v>
      </c>
      <c r="J90">
        <v>100</v>
      </c>
      <c r="K90" s="6" t="s">
        <v>12</v>
      </c>
    </row>
    <row r="91" spans="1:11" x14ac:dyDescent="0.3">
      <c r="A91" s="1">
        <v>46167</v>
      </c>
      <c r="B91">
        <v>89</v>
      </c>
      <c r="C91">
        <v>10003</v>
      </c>
      <c r="D91" s="6" t="s">
        <v>18</v>
      </c>
      <c r="E91" s="6" t="s">
        <v>16</v>
      </c>
      <c r="F91" s="6" t="s">
        <v>11</v>
      </c>
      <c r="G91">
        <v>75</v>
      </c>
      <c r="H91">
        <v>1.5</v>
      </c>
      <c r="I91" s="6" t="s">
        <v>23</v>
      </c>
      <c r="J91">
        <v>50</v>
      </c>
      <c r="K91" s="6" t="s">
        <v>12</v>
      </c>
    </row>
    <row r="92" spans="1:11" x14ac:dyDescent="0.3">
      <c r="A92" s="1">
        <v>46035</v>
      </c>
      <c r="B92">
        <v>25</v>
      </c>
      <c r="C92">
        <v>10003</v>
      </c>
      <c r="D92" s="6" t="s">
        <v>18</v>
      </c>
      <c r="E92" s="6" t="s">
        <v>10</v>
      </c>
      <c r="F92" s="6" t="s">
        <v>14</v>
      </c>
      <c r="G92">
        <v>-50</v>
      </c>
      <c r="H92">
        <v>-0.5</v>
      </c>
      <c r="I92" s="6" t="s">
        <v>23</v>
      </c>
      <c r="J92">
        <v>100</v>
      </c>
      <c r="K92" s="6" t="s">
        <v>17</v>
      </c>
    </row>
    <row r="93" spans="1:11" x14ac:dyDescent="0.3">
      <c r="A93" s="1">
        <v>46121</v>
      </c>
      <c r="B93">
        <v>9</v>
      </c>
      <c r="C93">
        <v>10006</v>
      </c>
      <c r="D93" s="6" t="s">
        <v>18</v>
      </c>
      <c r="E93" s="6" t="s">
        <v>10</v>
      </c>
      <c r="F93" s="6" t="s">
        <v>11</v>
      </c>
      <c r="G93">
        <v>-75</v>
      </c>
      <c r="H93">
        <v>-1.5</v>
      </c>
      <c r="I93" s="6" t="s">
        <v>23</v>
      </c>
      <c r="J93">
        <v>50</v>
      </c>
      <c r="K93" s="6" t="s">
        <v>17</v>
      </c>
    </row>
    <row r="94" spans="1:11" x14ac:dyDescent="0.3">
      <c r="A94" s="1">
        <v>46187</v>
      </c>
      <c r="B94">
        <v>18</v>
      </c>
      <c r="C94">
        <v>10003</v>
      </c>
      <c r="D94" s="6" t="s">
        <v>18</v>
      </c>
      <c r="E94" s="6" t="s">
        <v>10</v>
      </c>
      <c r="F94" s="6" t="s">
        <v>14</v>
      </c>
      <c r="G94">
        <v>-75</v>
      </c>
      <c r="H94">
        <v>-1.5</v>
      </c>
      <c r="I94" s="6" t="s">
        <v>23</v>
      </c>
      <c r="J94">
        <v>50</v>
      </c>
      <c r="K94" s="6" t="s">
        <v>17</v>
      </c>
    </row>
    <row r="95" spans="1:11" x14ac:dyDescent="0.3">
      <c r="A95" s="1">
        <v>46190</v>
      </c>
      <c r="B95">
        <v>44</v>
      </c>
      <c r="C95">
        <v>10005</v>
      </c>
      <c r="D95" s="6" t="s">
        <v>18</v>
      </c>
      <c r="E95" s="6" t="s">
        <v>10</v>
      </c>
      <c r="F95" s="6" t="s">
        <v>11</v>
      </c>
      <c r="G95">
        <v>-75</v>
      </c>
      <c r="H95">
        <v>-1.5</v>
      </c>
      <c r="I95" s="6" t="s">
        <v>23</v>
      </c>
      <c r="J95">
        <v>50</v>
      </c>
      <c r="K95" s="6" t="s">
        <v>17</v>
      </c>
    </row>
    <row r="96" spans="1:11" x14ac:dyDescent="0.3">
      <c r="A96" s="1">
        <v>46180</v>
      </c>
      <c r="B96">
        <v>19</v>
      </c>
      <c r="C96">
        <v>10001</v>
      </c>
      <c r="D96" s="6" t="s">
        <v>18</v>
      </c>
      <c r="E96" s="6" t="s">
        <v>16</v>
      </c>
      <c r="F96" s="6" t="s">
        <v>14</v>
      </c>
      <c r="G96">
        <v>-100</v>
      </c>
      <c r="H96">
        <v>-1</v>
      </c>
      <c r="I96" s="6" t="s">
        <v>23</v>
      </c>
      <c r="J96">
        <v>100</v>
      </c>
      <c r="K96" s="6" t="s">
        <v>17</v>
      </c>
    </row>
    <row r="97" spans="1:11" x14ac:dyDescent="0.3">
      <c r="A97" s="1">
        <v>46156</v>
      </c>
      <c r="B97">
        <v>56</v>
      </c>
      <c r="C97">
        <v>10004</v>
      </c>
      <c r="D97" s="6" t="s">
        <v>18</v>
      </c>
      <c r="E97" s="6" t="s">
        <v>16</v>
      </c>
      <c r="F97" s="6" t="s">
        <v>11</v>
      </c>
      <c r="G97">
        <v>-150</v>
      </c>
      <c r="H97">
        <v>-1.5</v>
      </c>
      <c r="I97" s="6" t="s">
        <v>23</v>
      </c>
      <c r="J97">
        <v>100</v>
      </c>
      <c r="K97" s="6" t="s">
        <v>17</v>
      </c>
    </row>
    <row r="98" spans="1:11" x14ac:dyDescent="0.3">
      <c r="A98" s="1">
        <v>46202</v>
      </c>
      <c r="B98">
        <v>11</v>
      </c>
      <c r="C98">
        <v>10001</v>
      </c>
      <c r="D98" s="6" t="s">
        <v>18</v>
      </c>
      <c r="E98" s="6" t="s">
        <v>10</v>
      </c>
      <c r="F98" s="6" t="s">
        <v>14</v>
      </c>
      <c r="G98">
        <v>-200</v>
      </c>
      <c r="H98">
        <v>-1</v>
      </c>
      <c r="I98" s="6" t="s">
        <v>23</v>
      </c>
      <c r="J98">
        <v>200</v>
      </c>
      <c r="K98" s="6" t="s">
        <v>17</v>
      </c>
    </row>
    <row r="99" spans="1:11" x14ac:dyDescent="0.3">
      <c r="A99" s="1">
        <v>46111</v>
      </c>
      <c r="B99">
        <v>51</v>
      </c>
      <c r="C99">
        <v>10003</v>
      </c>
      <c r="D99" s="6" t="s">
        <v>18</v>
      </c>
      <c r="E99" s="6" t="s">
        <v>10</v>
      </c>
      <c r="F99" s="6" t="s">
        <v>11</v>
      </c>
      <c r="G99">
        <v>-200</v>
      </c>
      <c r="H99">
        <v>-1</v>
      </c>
      <c r="I99" s="6" t="s">
        <v>23</v>
      </c>
      <c r="J99">
        <v>200</v>
      </c>
      <c r="K99" s="6" t="s">
        <v>17</v>
      </c>
    </row>
    <row r="100" spans="1:11" x14ac:dyDescent="0.3">
      <c r="A100" s="1">
        <v>46096</v>
      </c>
      <c r="B100">
        <v>42</v>
      </c>
      <c r="C100">
        <v>10002</v>
      </c>
      <c r="D100" s="6" t="s">
        <v>18</v>
      </c>
      <c r="E100" s="6" t="s">
        <v>10</v>
      </c>
      <c r="F100" s="6" t="s">
        <v>11</v>
      </c>
      <c r="G100">
        <v>-250</v>
      </c>
      <c r="H100">
        <v>-1</v>
      </c>
      <c r="I100" s="6" t="s">
        <v>23</v>
      </c>
      <c r="J100">
        <v>250</v>
      </c>
      <c r="K100" s="6" t="s">
        <v>17</v>
      </c>
    </row>
    <row r="101" spans="1:11" x14ac:dyDescent="0.3">
      <c r="A101" s="1">
        <v>46104</v>
      </c>
      <c r="B101">
        <v>58</v>
      </c>
      <c r="C101">
        <v>10005</v>
      </c>
      <c r="D101" s="6" t="s">
        <v>18</v>
      </c>
      <c r="E101" s="6" t="s">
        <v>10</v>
      </c>
      <c r="F101" s="6" t="s">
        <v>11</v>
      </c>
      <c r="G101">
        <v>-250</v>
      </c>
      <c r="H101">
        <v>-1</v>
      </c>
      <c r="I101" s="6" t="s">
        <v>23</v>
      </c>
      <c r="J101">
        <v>250</v>
      </c>
      <c r="K101" s="6" t="s">
        <v>17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1"/>
  <sheetViews>
    <sheetView workbookViewId="0">
      <selection activeCell="G15" sqref="G15"/>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sheetData>
  <conditionalFormatting sqref="A1">
    <cfRule type="duplicateValues" dxfId="7" priority="2"/>
  </conditionalFormatting>
  <conditionalFormatting sqref="A1:A1048576">
    <cfRule type="duplicateValues" dxfId="6"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charts</vt:lpstr>
      <vt:lpstr>PIVOT</vt:lpstr>
      <vt:lpstr>table data</vt:lpstr>
      <vt:lpstr>dataraw_1</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2026-10-01T19:24:53Z</dcterms:modified>
</cp:coreProperties>
</file>