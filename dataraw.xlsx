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Ex1.xml" ContentType="application/vnd.ms-office.chartex+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Ex3.xml" ContentType="application/vnd.ms-office.chartex+xml"/>
  <Override PartName="/xl/charts/style11.xml" ContentType="application/vnd.ms-office.chartstyle+xml"/>
  <Override PartName="/xl/charts/colors1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9.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7CA05186-A412-4FBD-98DA-E547C4DFCEEB}" xr6:coauthVersionLast="47" xr6:coauthVersionMax="47" xr10:uidLastSave="{00000000-0000-0000-0000-000000000000}"/>
  <bookViews>
    <workbookView xWindow="-108" yWindow="-108" windowWidth="23256" windowHeight="12456" firstSheet="1" activeTab="1" xr2:uid="{29389193-7256-4448-99EA-708D1049F25F}"/>
  </bookViews>
  <sheets>
    <sheet name="DASHBOARD" sheetId="15" r:id="rId1"/>
    <sheet name="charts" sheetId="16" r:id="rId2"/>
    <sheet name="PIVOT" sheetId="14" r:id="rId3"/>
    <sheet name="trading_raw_data2 (2)" sheetId="18" r:id="rId4"/>
    <sheet name="Sheet1 (2)" sheetId="21" r:id="rId5"/>
    <sheet name="malaga" sheetId="22" r:id="rId6"/>
    <sheet name="Sheet1" sheetId="19" r:id="rId7"/>
    <sheet name="trading_raw_data2" sheetId="1" r:id="rId8"/>
  </sheets>
  <definedNames>
    <definedName name="_xlchart.v1.0" hidden="1">charts!$BT$7:$BT$13</definedName>
    <definedName name="_xlchart.v1.1" hidden="1">charts!$BT$7:$BT$13</definedName>
    <definedName name="_xlchart.v1.2" hidden="1">charts!$AZ$7</definedName>
    <definedName name="_xlchart.v1.3" hidden="1">charts!$AZ$8:$AZ$19</definedName>
    <definedName name="_xlchart.v1.4" hidden="1">charts!$AG$7:$AG$10</definedName>
    <definedName name="_xlchart.v1.5" hidden="1">charts!$AH$7:$AH$10</definedName>
    <definedName name="ExternalData_1" localSheetId="4" hidden="1">'Sheet1 (2)'!$A$1:$D$5</definedName>
    <definedName name="ExternalData_1" localSheetId="3" hidden="1">'trading_raw_data2 (2)'!$A$1:$K$102</definedName>
    <definedName name="Slicer_Pair">#N/A</definedName>
    <definedName name="Slicer_Session">#N/A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02" i="1" l="1"/>
  <c r="I102" i="1"/>
  <c r="AZ21" i="16"/>
  <c r="AZ20" i="16"/>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76B603C0-C72D-4CE0-95A7-3C4DF0208711}" keepAlive="1" name="Query - dataraw_1" description="Connection to the 'dataraw_1' query in the workbook." type="5" refreshedVersion="8" background="1" saveData="1">
    <dbPr connection="Provider=Microsoft.Mashup.OleDb.1;Data Source=$Workbook$;Location=dataraw_1;Extended Properties=&quot;&quot;" command="SELECT * FROM [dataraw_1]"/>
  </connection>
  <connection id="3"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 id="4" xr16:uid="{07DE98C5-6F83-4AD0-BAED-41208753DBF4}"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 id="5" xr16:uid="{88B9AE0F-F8A8-4BC5-9A4F-3F424B8CE0E9}" keepAlive="1" name="Query - Sheet1 (2)" description="Connection to the 'Sheet1 (2)' query in the workbook." type="5" refreshedVersion="8" background="1" saveData="1">
    <dbPr connection="Provider=Microsoft.Mashup.OleDb.1;Data Source=$Workbook$;Location=&quot;Sheet1 (2)&quot;;Extended Properties=&quot;&quot;" command="SELECT * FROM [Sheet1 (2)]"/>
  </connection>
  <connection id="6" xr16:uid="{29510C8C-19CC-4CB3-98E5-BCC8B9E74E5B}" keepAlive="1" name="Query - trading_raw_data2" description="Connection to the 'trading_raw_data2' query in the workbook." type="5" refreshedVersion="8" background="1" saveData="1">
    <dbPr connection="Provider=Microsoft.Mashup.OleDb.1;Data Source=$Workbook$;Location=trading_raw_data2;Extended Properties=&quot;&quot;" command="SELECT * FROM [trading_raw_data2]"/>
  </connection>
</connections>
</file>

<file path=xl/sharedStrings.xml><?xml version="1.0" encoding="utf-8"?>
<sst xmlns="http://schemas.openxmlformats.org/spreadsheetml/2006/main" count="1019" uniqueCount="74">
  <si>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</si>
  <si>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</si>
  <si>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</si>
  <si>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</si>
  <si>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</si>
  <si>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</si>
  <si>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</si>
  <si>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</si>
  <si>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</si>
  <si>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</si>
  <si>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</si>
  <si>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</si>
  <si>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</si>
  <si>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</si>
  <si>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</si>
  <si>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</si>
  <si>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</si>
  <si>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</si>
  <si>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</si>
  <si>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</si>
  <si>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</si>
  <si>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</si>
  <si>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</si>
  <si>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</si>
  <si>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</si>
  <si>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</si>
  <si>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</si>
  <si>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</si>
  <si>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</si>
  <si>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</si>
  <si>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</si>
  <si>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</si>
  <si>
    <t>eurusd</t>
  </si>
  <si>
    <t>gbpusd</t>
  </si>
  <si>
    <t>gold</t>
  </si>
  <si>
    <t>us30</t>
  </si>
  <si>
    <t>pair</t>
  </si>
  <si>
    <t>profit</t>
  </si>
  <si>
    <t>rr</t>
  </si>
  <si>
    <t>consitency</t>
  </si>
  <si>
    <t>sl</t>
  </si>
  <si>
    <t>wn</t>
  </si>
  <si>
    <t>metric</t>
  </si>
  <si>
    <t>porcentage</t>
  </si>
  <si>
    <t>chhal kyachriw glas mo9abil 7arar</t>
  </si>
  <si>
    <t>7arar</t>
  </si>
  <si>
    <t>glass</t>
  </si>
  <si>
    <t>breakeven</t>
  </si>
  <si>
    <t>move tp</t>
  </si>
  <si>
    <t>closs</t>
  </si>
  <si>
    <t>PARETO CHART</t>
  </si>
  <si>
    <t>tasaro3</t>
  </si>
  <si>
    <t>entry khayba</t>
  </si>
  <si>
    <t>stop los khayba</t>
  </si>
  <si>
    <t>nsayn risk</t>
  </si>
  <si>
    <t>mahckil</t>
  </si>
  <si>
    <t>chhal kayt3awdo</t>
  </si>
  <si>
    <t>result</t>
  </si>
  <si>
    <t>box and wisker</t>
  </si>
  <si>
    <t>median</t>
  </si>
  <si>
    <t>average</t>
  </si>
  <si>
    <t>Trade ID</t>
  </si>
  <si>
    <t>new york</t>
  </si>
  <si>
    <t>ny</t>
  </si>
  <si>
    <t>Trade Info</t>
  </si>
  <si>
    <t>EURUSD-NY</t>
  </si>
  <si>
    <t>GBPUSD-LONDON</t>
  </si>
  <si>
    <t>US30-NY</t>
  </si>
  <si>
    <t>setup 1</t>
  </si>
  <si>
    <t>setup 2</t>
  </si>
  <si>
    <t>setup 3</t>
  </si>
  <si>
    <t>setup 4</t>
  </si>
  <si>
    <t>strategies</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</si>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</sst>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sz val="8"/>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
      <patternFill patternType="solid">
        <fgColor theme="4" tint="0.39997558519241921"/>
        <bgColor indexed="64"/>
      </patternFill>
    </fill>
  </fills>
  <borders count="2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2">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4"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4" fontId="0" fillId="35" borderId="0" xfId="0" applyNumberFormat="1" applyFill="1"/>
    <xf numFmtId="0" fontId="0" fillId="0" borderId="10" xfId="0" applyBorder="1"/>
    <xf numFmtId="0" fontId="16" fillId="33" borderId="10" xfId="0" applyFont="1" applyFill="1" applyBorder="1"/>
    <xf numFmtId="0" fontId="0" fillId="0" borderId="10" xfId="0" applyBorder="1" applyAlignment="1">
      <alignment horizontal="center"/>
    </xf>
    <xf numFmtId="0" fontId="18" fillId="0" borderId="10" xfId="0" applyFont="1" applyBorder="1" applyAlignment="1">
      <alignment horizontal="center"/>
    </xf>
    <xf numFmtId="0" fontId="16" fillId="36" borderId="10" xfId="0" applyFont="1" applyFill="1" applyBorder="1"/>
    <xf numFmtId="0" fontId="16" fillId="36" borderId="10" xfId="0" applyFont="1" applyFill="1" applyBorder="1" applyAlignment="1">
      <alignment horizontal="center"/>
    </xf>
    <xf numFmtId="0" fontId="0" fillId="0" borderId="11" xfId="0" applyFill="1" applyBorder="1" applyAlignment="1">
      <alignment horizontal="center"/>
    </xf>
    <xf numFmtId="0" fontId="0" fillId="0" borderId="0" xfId="0" applyAlignment="1">
      <alignment horizontal="center"/>
    </xf>
    <xf numFmtId="0" fontId="0" fillId="0" borderId="10" xfId="0" applyBorder="1" applyAlignment="1">
      <alignment vertical="center" wrapText="1"/>
    </xf>
    <xf numFmtId="0" fontId="0" fillId="0" borderId="13" xfId="0" applyBorder="1" applyAlignment="1">
      <alignment vertical="center" wrapText="1"/>
    </xf>
    <xf numFmtId="0" fontId="0" fillId="0" borderId="14" xfId="0" applyBorder="1"/>
    <xf numFmtId="0" fontId="16" fillId="0" borderId="15"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17" xfId="0" applyFont="1" applyBorder="1" applyAlignment="1">
      <alignment horizontal="center" vertical="center" wrapText="1"/>
    </xf>
    <xf numFmtId="0" fontId="0" fillId="0" borderId="18" xfId="0" applyBorder="1" applyAlignment="1">
      <alignment vertical="center" wrapText="1"/>
    </xf>
    <xf numFmtId="0" fontId="0" fillId="0" borderId="19" xfId="0" applyBorder="1" applyAlignment="1">
      <alignment vertical="center" wrapText="1"/>
    </xf>
    <xf numFmtId="0" fontId="0" fillId="0" borderId="20" xfId="0" applyBorder="1"/>
    <xf numFmtId="0" fontId="0" fillId="0" borderId="22" xfId="0" applyBorder="1" applyAlignment="1">
      <alignment vertical="center" wrapText="1"/>
    </xf>
    <xf numFmtId="0" fontId="16" fillId="0" borderId="12" xfId="0" applyFont="1" applyBorder="1" applyAlignment="1">
      <alignment horizontal="center" vertical="center" wrapText="1"/>
    </xf>
    <xf numFmtId="0" fontId="0" fillId="0" borderId="21" xfId="0" applyBorder="1" applyAlignment="1">
      <alignment vertic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0">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19" formatCode="m/d/yy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64" formatCode="&quot;$&quot;#,##0.00"/>
    </dxf>
    <dxf>
      <numFmt numFmtId="0" formatCode="General"/>
    </dxf>
    <dxf>
      <numFmt numFmtId="165" formatCode="_(&quot;$&quot;* #,##0_);_(&quot;$&quot;* \(#,##0\);_(&quot;$&quot;* &quot;-&quot;??_);_(@_)"/>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0.14996795556505021"/>
            </patternFill>
          </fill>
        </dxf>
        <dxf>
          <fill>
            <patternFill>
              <bgColor theme="0" tint="-0.499984740745262"/>
            </patternFill>
          </fill>
        </dxf>
        <dxf>
          <fill>
            <patternFill>
              <bgColor theme="0" tint="-4.9989318521683403E-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charts!$C$5</c:f>
              <c:strCache>
                <c:ptCount val="1"/>
                <c:pt idx="0">
                  <c:v>profit</c:v>
                </c:pt>
              </c:strCache>
            </c:strRef>
          </c:tx>
          <c:spPr>
            <a:solidFill>
              <a:schemeClr val="accent3"/>
            </a:solidFill>
            <a:ln>
              <a:noFill/>
            </a:ln>
            <a:effectLst/>
          </c:spPr>
          <c:invertIfNegative val="0"/>
          <c:dPt>
            <c:idx val="3"/>
            <c:invertIfNegative val="0"/>
            <c:bubble3D val="0"/>
            <c:spPr>
              <a:solidFill>
                <a:schemeClr val="accent3"/>
              </a:solidFill>
              <a:ln>
                <a:solidFill>
                  <a:schemeClr val="accent6">
                    <a:lumMod val="75000"/>
                  </a:schemeClr>
                </a:solidFill>
              </a:ln>
              <a:effectLst/>
            </c:spPr>
            <c:extLst>
              <c:ext xmlns:c16="http://schemas.microsoft.com/office/drawing/2014/chart" uri="{C3380CC4-5D6E-409C-BE32-E72D297353CC}">
                <c16:uniqueId val="{00000001-8291-4CCF-BF28-8B2DB3E5EBD5}"/>
              </c:ext>
            </c:extLst>
          </c:dPt>
          <c:cat>
            <c:strRef>
              <c:f>charts!$B$6:$B$9</c:f>
              <c:strCache>
                <c:ptCount val="4"/>
                <c:pt idx="0">
                  <c:v>eurusd</c:v>
                </c:pt>
                <c:pt idx="1">
                  <c:v>gbpusd</c:v>
                </c:pt>
                <c:pt idx="2">
                  <c:v>gold</c:v>
                </c:pt>
                <c:pt idx="3">
                  <c:v>us30</c:v>
                </c:pt>
              </c:strCache>
            </c:strRef>
          </c:cat>
          <c:val>
            <c:numRef>
              <c:f>charts!$C$6:$C$9</c:f>
              <c:numCache>
                <c:formatCode>General</c:formatCode>
                <c:ptCount val="4"/>
                <c:pt idx="0">
                  <c:v>1563</c:v>
                </c:pt>
                <c:pt idx="1">
                  <c:v>654</c:v>
                </c:pt>
                <c:pt idx="2">
                  <c:v>-64</c:v>
                </c:pt>
                <c:pt idx="3">
                  <c:v>763</c:v>
                </c:pt>
              </c:numCache>
            </c:numRef>
          </c:val>
          <c:extLst>
            <c:ext xmlns:c16="http://schemas.microsoft.com/office/drawing/2014/chart" uri="{C3380CC4-5D6E-409C-BE32-E72D297353CC}">
              <c16:uniqueId val="{00000000-8291-4CCF-BF28-8B2DB3E5EBD5}"/>
            </c:ext>
          </c:extLst>
        </c:ser>
        <c:dLbls>
          <c:showLegendKey val="0"/>
          <c:showVal val="0"/>
          <c:showCatName val="0"/>
          <c:showSerName val="0"/>
          <c:showPercent val="0"/>
          <c:showBubbleSize val="0"/>
        </c:dLbls>
        <c:gapWidth val="223"/>
        <c:overlap val="37"/>
        <c:axId val="197859680"/>
        <c:axId val="197863520"/>
      </c:barChart>
      <c:catAx>
        <c:axId val="197859680"/>
        <c:scaling>
          <c:orientation val="minMax"/>
        </c:scaling>
        <c:delete val="0"/>
        <c:axPos val="l"/>
        <c:numFmt formatCode="General" sourceLinked="1"/>
        <c:majorTickMark val="out"/>
        <c:minorTickMark val="out"/>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63520"/>
        <c:crosses val="autoZero"/>
        <c:auto val="1"/>
        <c:lblAlgn val="ctr"/>
        <c:lblOffset val="1000"/>
        <c:tickMarkSkip val="20"/>
        <c:noMultiLvlLbl val="0"/>
      </c:catAx>
      <c:valAx>
        <c:axId val="1978635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97859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charts!$N$4</c:f>
              <c:strCache>
                <c:ptCount val="1"/>
                <c:pt idx="0">
                  <c:v>porcentage</c:v>
                </c:pt>
              </c:strCache>
            </c:strRef>
          </c:tx>
          <c:spPr>
            <a:ln w="28575" cap="rnd">
              <a:solidFill>
                <a:schemeClr val="accent3">
                  <a:lumMod val="60000"/>
                  <a:lumOff val="40000"/>
                </a:schemeClr>
              </a:solidFill>
              <a:round/>
            </a:ln>
            <a:effectLst/>
          </c:spPr>
          <c:marker>
            <c:symbol val="none"/>
          </c:marker>
          <c:cat>
            <c:strRef>
              <c:f>charts!$M$5:$M$8</c:f>
              <c:strCache>
                <c:ptCount val="4"/>
                <c:pt idx="0">
                  <c:v>rr</c:v>
                </c:pt>
                <c:pt idx="1">
                  <c:v>consitency</c:v>
                </c:pt>
                <c:pt idx="2">
                  <c:v>sl</c:v>
                </c:pt>
                <c:pt idx="3">
                  <c:v>wn</c:v>
                </c:pt>
              </c:strCache>
            </c:strRef>
          </c:cat>
          <c:val>
            <c:numRef>
              <c:f>charts!$N$5:$N$8</c:f>
              <c:numCache>
                <c:formatCode>General</c:formatCode>
                <c:ptCount val="4"/>
                <c:pt idx="0">
                  <c:v>100</c:v>
                </c:pt>
                <c:pt idx="1">
                  <c:v>54</c:v>
                </c:pt>
                <c:pt idx="2">
                  <c:v>100</c:v>
                </c:pt>
                <c:pt idx="3">
                  <c:v>60</c:v>
                </c:pt>
              </c:numCache>
            </c:numRef>
          </c:val>
          <c:extLst>
            <c:ext xmlns:c16="http://schemas.microsoft.com/office/drawing/2014/chart" uri="{C3380CC4-5D6E-409C-BE32-E72D297353CC}">
              <c16:uniqueId val="{00000000-6E9A-46E0-9D3E-451F7A5753E0}"/>
            </c:ext>
          </c:extLst>
        </c:ser>
        <c:dLbls>
          <c:showLegendKey val="0"/>
          <c:showVal val="0"/>
          <c:showCatName val="0"/>
          <c:showSerName val="0"/>
          <c:showPercent val="0"/>
          <c:showBubbleSize val="0"/>
        </c:dLbls>
        <c:axId val="59812800"/>
        <c:axId val="119017552"/>
      </c:radarChart>
      <c:catAx>
        <c:axId val="59812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accent3">
                    <a:lumMod val="75000"/>
                  </a:schemeClr>
                </a:solidFill>
                <a:latin typeface="+mn-lt"/>
                <a:ea typeface="+mn-ea"/>
                <a:cs typeface="+mn-cs"/>
              </a:defRPr>
            </a:pPr>
            <a:endParaRPr lang="en-US"/>
          </a:p>
        </c:txPr>
        <c:crossAx val="119017552"/>
        <c:crosses val="autoZero"/>
        <c:auto val="1"/>
        <c:lblAlgn val="ctr"/>
        <c:lblOffset val="100"/>
        <c:noMultiLvlLbl val="0"/>
      </c:catAx>
      <c:valAx>
        <c:axId val="1190175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98128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scatter</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spPr>
            <a:solidFill>
              <a:schemeClr val="accent1"/>
            </a:solidFill>
            <a:ln w="38100">
              <a:noFill/>
            </a:ln>
            <a:effectLst/>
          </c:spPr>
          <c:invertIfNegative val="0"/>
          <c:trendline>
            <c:spPr>
              <a:ln w="19050" cap="rnd">
                <a:solidFill>
                  <a:schemeClr val="accent1"/>
                </a:solidFill>
                <a:prstDash val="sysDot"/>
              </a:ln>
              <a:effectLst/>
            </c:spPr>
            <c:trendlineType val="linear"/>
            <c:dispRSqr val="0"/>
            <c:dispEq val="0"/>
          </c:trendline>
          <c:xVal>
            <c:numRef>
              <c:f>charts!$U$8:$U$14</c:f>
              <c:numCache>
                <c:formatCode>General</c:formatCode>
                <c:ptCount val="7"/>
                <c:pt idx="0">
                  <c:v>10</c:v>
                </c:pt>
                <c:pt idx="1">
                  <c:v>12</c:v>
                </c:pt>
                <c:pt idx="2">
                  <c:v>14</c:v>
                </c:pt>
                <c:pt idx="3">
                  <c:v>17</c:v>
                </c:pt>
                <c:pt idx="4">
                  <c:v>20</c:v>
                </c:pt>
                <c:pt idx="5">
                  <c:v>24</c:v>
                </c:pt>
                <c:pt idx="6">
                  <c:v>29</c:v>
                </c:pt>
              </c:numCache>
            </c:numRef>
          </c:xVal>
          <c:yVal>
            <c:numRef>
              <c:f>charts!$V$8:$V$14</c:f>
              <c:numCache>
                <c:formatCode>General</c:formatCode>
                <c:ptCount val="7"/>
                <c:pt idx="0">
                  <c:v>189</c:v>
                </c:pt>
                <c:pt idx="1">
                  <c:v>190</c:v>
                </c:pt>
                <c:pt idx="2">
                  <c:v>199</c:v>
                </c:pt>
                <c:pt idx="3">
                  <c:v>203</c:v>
                </c:pt>
                <c:pt idx="4">
                  <c:v>233</c:v>
                </c:pt>
                <c:pt idx="5">
                  <c:v>300</c:v>
                </c:pt>
                <c:pt idx="6">
                  <c:v>379</c:v>
                </c:pt>
              </c:numCache>
            </c:numRef>
          </c:yVal>
          <c:bubbleSize>
            <c:numLit>
              <c:formatCode>General</c:formatCode>
              <c:ptCount val="7"/>
              <c:pt idx="0">
                <c:v>1</c:v>
              </c:pt>
              <c:pt idx="1">
                <c:v>1</c:v>
              </c:pt>
              <c:pt idx="2">
                <c:v>1</c:v>
              </c:pt>
              <c:pt idx="3">
                <c:v>1</c:v>
              </c:pt>
              <c:pt idx="4">
                <c:v>1</c:v>
              </c:pt>
              <c:pt idx="5">
                <c:v>1</c:v>
              </c:pt>
              <c:pt idx="6">
                <c:v>1</c:v>
              </c:pt>
            </c:numLit>
          </c:bubbleSize>
          <c:bubble3D val="0"/>
          <c:extLst>
            <c:ext xmlns:c16="http://schemas.microsoft.com/office/drawing/2014/chart" uri="{C3380CC4-5D6E-409C-BE32-E72D297353CC}">
              <c16:uniqueId val="{00000000-3B3C-44A3-AF1D-BFA074AB5702}"/>
            </c:ext>
          </c:extLst>
        </c:ser>
        <c:dLbls>
          <c:showLegendKey val="0"/>
          <c:showVal val="0"/>
          <c:showCatName val="0"/>
          <c:showSerName val="0"/>
          <c:showPercent val="0"/>
          <c:showBubbleSize val="0"/>
        </c:dLbls>
        <c:bubbleScale val="100"/>
        <c:showNegBubbles val="0"/>
        <c:axId val="131475120"/>
        <c:axId val="131475600"/>
      </c:bubbleChart>
      <c:valAx>
        <c:axId val="13147512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600"/>
        <c:crosses val="autoZero"/>
        <c:crossBetween val="midCat"/>
      </c:valAx>
      <c:valAx>
        <c:axId val="13147560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75120"/>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ofPieChart>
        <c:ofPieType val="bar"/>
        <c:varyColors val="1"/>
        <c:ser>
          <c:idx val="0"/>
          <c:order val="0"/>
          <c:tx>
            <c:strRef>
              <c:f>charts!$AT$6</c:f>
              <c:strCache>
                <c:ptCount val="1"/>
                <c:pt idx="0">
                  <c:v>chhal kayt3awdo</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AF8-408B-91D4-7801FE7C2D1A}"/>
              </c:ext>
            </c:extLst>
          </c:dPt>
          <c:dPt>
            <c:idx val="1"/>
            <c:bubble3D val="0"/>
            <c:explosion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960-4023-9175-4B99FFC653D5}"/>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AF8-408B-91D4-7801FE7C2D1A}"/>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DAF8-408B-91D4-7801FE7C2D1A}"/>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DAF8-408B-91D4-7801FE7C2D1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extLst>
          </c:dLbls>
          <c:cat>
            <c:strRef>
              <c:f>charts!$AS$7:$AS$10</c:f>
              <c:strCache>
                <c:ptCount val="4"/>
                <c:pt idx="0">
                  <c:v>tasaro3</c:v>
                </c:pt>
                <c:pt idx="1">
                  <c:v>entry khayba</c:v>
                </c:pt>
                <c:pt idx="2">
                  <c:v>stop los khayba</c:v>
                </c:pt>
                <c:pt idx="3">
                  <c:v>nsayn risk</c:v>
                </c:pt>
              </c:strCache>
            </c:strRef>
          </c:cat>
          <c:val>
            <c:numRef>
              <c:f>charts!$AT$7:$AT$10</c:f>
              <c:numCache>
                <c:formatCode>General</c:formatCode>
                <c:ptCount val="4"/>
                <c:pt idx="0">
                  <c:v>4</c:v>
                </c:pt>
                <c:pt idx="1">
                  <c:v>7</c:v>
                </c:pt>
                <c:pt idx="2">
                  <c:v>8</c:v>
                </c:pt>
                <c:pt idx="3">
                  <c:v>2</c:v>
                </c:pt>
              </c:numCache>
            </c:numRef>
          </c:val>
          <c:extLst>
            <c:ext xmlns:c16="http://schemas.microsoft.com/office/drawing/2014/chart" uri="{C3380CC4-5D6E-409C-BE32-E72D297353CC}">
              <c16:uniqueId val="{00000000-9960-4023-9175-4B99FFC653D5}"/>
            </c:ext>
          </c:extLst>
        </c:ser>
        <c:dLbls>
          <c:dLblPos val="inEnd"/>
          <c:showLegendKey val="0"/>
          <c:showVal val="0"/>
          <c:showCatName val="1"/>
          <c:showSerName val="0"/>
          <c:showPercent val="0"/>
          <c:showBubbleSize val="0"/>
          <c:showLeaderLines val="0"/>
        </c:dLbls>
        <c:gapWidth val="310"/>
        <c:secondPieSize val="66"/>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charts!$BM$4</c:f>
              <c:strCache>
                <c:ptCount val="1"/>
                <c:pt idx="0">
                  <c:v>profit</c:v>
                </c:pt>
              </c:strCache>
            </c:strRef>
          </c:tx>
          <c:spPr>
            <a:solidFill>
              <a:schemeClr val="accent1"/>
            </a:solidFill>
            <a:ln>
              <a:noFill/>
            </a:ln>
            <a:effectLst/>
          </c:spPr>
          <c:invertIfNegative val="0"/>
          <c:cat>
            <c:strRef>
              <c:f>charts!$BL$5:$BL$8</c:f>
              <c:strCache>
                <c:ptCount val="4"/>
                <c:pt idx="0">
                  <c:v>setup 1</c:v>
                </c:pt>
                <c:pt idx="1">
                  <c:v>setup 2</c:v>
                </c:pt>
                <c:pt idx="2">
                  <c:v>setup 3</c:v>
                </c:pt>
                <c:pt idx="3">
                  <c:v>setup 4</c:v>
                </c:pt>
              </c:strCache>
            </c:strRef>
          </c:cat>
          <c:val>
            <c:numRef>
              <c:f>charts!$BM$5:$BM$8</c:f>
              <c:numCache>
                <c:formatCode>General</c:formatCode>
                <c:ptCount val="4"/>
                <c:pt idx="0">
                  <c:v>45</c:v>
                </c:pt>
                <c:pt idx="1">
                  <c:v>65</c:v>
                </c:pt>
                <c:pt idx="2">
                  <c:v>43</c:v>
                </c:pt>
                <c:pt idx="3">
                  <c:v>98</c:v>
                </c:pt>
              </c:numCache>
            </c:numRef>
          </c:val>
          <c:extLst>
            <c:ext xmlns:c16="http://schemas.microsoft.com/office/drawing/2014/chart" uri="{C3380CC4-5D6E-409C-BE32-E72D297353CC}">
              <c16:uniqueId val="{00000000-BA86-409C-ABAD-D522B4FD5E0A}"/>
            </c:ext>
          </c:extLst>
        </c:ser>
        <c:dLbls>
          <c:showLegendKey val="0"/>
          <c:showVal val="0"/>
          <c:showCatName val="0"/>
          <c:showSerName val="0"/>
          <c:showPercent val="0"/>
          <c:showBubbleSize val="0"/>
        </c:dLbls>
        <c:gapWidth val="150"/>
        <c:axId val="1340810639"/>
        <c:axId val="1340811119"/>
      </c:barChart>
      <c:lineChart>
        <c:grouping val="standard"/>
        <c:varyColors val="0"/>
        <c:ser>
          <c:idx val="1"/>
          <c:order val="1"/>
          <c:tx>
            <c:strRef>
              <c:f>charts!$BN$4</c:f>
              <c:strCache>
                <c:ptCount val="1"/>
                <c:pt idx="0">
                  <c:v>r</c:v>
                </c:pt>
              </c:strCache>
            </c:strRef>
          </c:tx>
          <c:spPr>
            <a:ln w="28575" cap="rnd">
              <a:solidFill>
                <a:schemeClr val="accent2"/>
              </a:solidFill>
              <a:round/>
            </a:ln>
            <a:effectLst/>
          </c:spPr>
          <c:marker>
            <c:symbol val="none"/>
          </c:marker>
          <c:cat>
            <c:strRef>
              <c:f>charts!$BL$5:$BL$8</c:f>
              <c:strCache>
                <c:ptCount val="4"/>
                <c:pt idx="0">
                  <c:v>setup 1</c:v>
                </c:pt>
                <c:pt idx="1">
                  <c:v>setup 2</c:v>
                </c:pt>
                <c:pt idx="2">
                  <c:v>setup 3</c:v>
                </c:pt>
                <c:pt idx="3">
                  <c:v>setup 4</c:v>
                </c:pt>
              </c:strCache>
            </c:strRef>
          </c:cat>
          <c:val>
            <c:numRef>
              <c:f>charts!$BN$5:$BN$8</c:f>
              <c:numCache>
                <c:formatCode>General</c:formatCode>
                <c:ptCount val="4"/>
                <c:pt idx="0">
                  <c:v>56</c:v>
                </c:pt>
                <c:pt idx="1">
                  <c:v>89</c:v>
                </c:pt>
                <c:pt idx="2">
                  <c:v>20</c:v>
                </c:pt>
                <c:pt idx="3">
                  <c:v>87</c:v>
                </c:pt>
              </c:numCache>
            </c:numRef>
          </c:val>
          <c:smooth val="0"/>
          <c:extLst>
            <c:ext xmlns:c16="http://schemas.microsoft.com/office/drawing/2014/chart" uri="{C3380CC4-5D6E-409C-BE32-E72D297353CC}">
              <c16:uniqueId val="{00000001-BA86-409C-ABAD-D522B4FD5E0A}"/>
            </c:ext>
          </c:extLst>
        </c:ser>
        <c:dLbls>
          <c:showLegendKey val="0"/>
          <c:showVal val="0"/>
          <c:showCatName val="0"/>
          <c:showSerName val="0"/>
          <c:showPercent val="0"/>
          <c:showBubbleSize val="0"/>
        </c:dLbls>
        <c:marker val="1"/>
        <c:smooth val="0"/>
        <c:axId val="1340810639"/>
        <c:axId val="1340811119"/>
      </c:lineChart>
      <c:catAx>
        <c:axId val="1340810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1119"/>
        <c:auto val="1"/>
        <c:lblAlgn val="ctr"/>
        <c:lblOffset val="100"/>
        <c:noMultiLvlLbl val="0"/>
      </c:catAx>
      <c:valAx>
        <c:axId val="1340811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810639"/>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val">
        <cx:f>_xlchart.v1.5</cx:f>
      </cx:numDim>
    </cx:data>
  </cx:chartData>
  <cx:chart>
    <cx:title pos="t" align="ctr" overlay="0">
      <cx:tx>
        <cx:txData>
          <cx:v>asbab</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asbab</a:t>
          </a:r>
        </a:p>
      </cx:txPr>
    </cx:title>
    <cx:plotArea>
      <cx:plotAreaRegion>
        <cx:series layoutId="clusteredColumn" uniqueId="{E96AF6F9-E978-47FC-B64A-E146AFB68A9F}">
          <cx:spPr>
            <a:solidFill>
              <a:srgbClr val="FF0000"/>
            </a:solidFill>
            <a:ln w="0" cap="rnd">
              <a:solidFill>
                <a:schemeClr val="accent1"/>
              </a:solidFill>
            </a:ln>
          </cx:spPr>
          <cx:dataId val="0"/>
          <cx:layoutPr>
            <cx:aggregation/>
          </cx:layoutPr>
          <cx:axisId val="1"/>
        </cx:series>
        <cx:series layoutId="paretoLine" ownerIdx="0" uniqueId="{C3409FCB-C813-44BB-A341-4EB0072B093C}">
          <cx:spPr>
            <a:ln>
              <a:solidFill>
                <a:schemeClr val="tx1"/>
              </a:solidFill>
            </a:ln>
          </cx:spPr>
          <cx:axisId val="2"/>
        </cx:series>
      </cx:plotAreaRegion>
      <cx:axis id="0">
        <cx:catScaling gapWidth="0.75"/>
        <cx:majorTickMarks type="out"/>
        <cx:minorTickMarks type="in"/>
        <cx:tickLabels/>
        <cx:numFmt formatCode="@" sourceLinked="0"/>
        <cx:spPr>
          <a:ln w="15875" cmpd="tri">
            <a:solidFill>
              <a:schemeClr val="tx1">
                <a:lumMod val="95000"/>
                <a:lumOff val="5000"/>
              </a:schemeClr>
            </a:solidFill>
          </a:ln>
        </cx:spPr>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plotArea>
      <cx:plotAreaRegion>
        <cx:series layoutId="boxWhisker" uniqueId="{C71DBB1C-AB3E-42DB-B2BD-395DAF4DEF64}">
          <cx:tx>
            <cx:txData>
              <cx:f>_xlchart.v1.2</cx:f>
              <cx:v>result</cx:v>
            </cx:txData>
          </cx:tx>
          <cx:dataLabels pos="l">
            <cx:txPr>
              <a:bodyPr spcFirstLastPara="1" vertOverflow="ellipsis" horzOverflow="overflow" wrap="square" lIns="0" tIns="0" rIns="0" bIns="0" anchor="ctr" anchorCtr="1"/>
              <a:lstStyle/>
              <a:p>
                <a:pPr algn="ctr" rtl="0">
                  <a:defRPr>
                    <a:solidFill>
                      <a:schemeClr val="accent5">
                        <a:lumMod val="60000"/>
                        <a:lumOff val="40000"/>
                      </a:schemeClr>
                    </a:solidFill>
                  </a:defRPr>
                </a:pPr>
                <a:endParaRPr lang="en-US" sz="900" b="0" i="0" u="none" strike="noStrike" baseline="0">
                  <a:solidFill>
                    <a:schemeClr val="accent5">
                      <a:lumMod val="60000"/>
                      <a:lumOff val="40000"/>
                    </a:schemeClr>
                  </a:solidFill>
                  <a:latin typeface="Aptos Narrow" panose="02110004020202020204"/>
                </a:endParaRPr>
              </a:p>
            </cx:txPr>
            <cx:visibility seriesName="0" categoryName="0" value="1"/>
            <cx:separator>, </cx:separator>
          </cx:dataLabels>
          <cx:dataId val="0"/>
          <cx:layoutPr>
            <cx:visibility meanLine="0" meanMarker="1" nonoutliers="0" outliers="1"/>
            <cx:statistics quartileMethod="inclusive"/>
          </cx:layoutPr>
        </cx:series>
      </cx:plotAreaRegion>
      <cx:axis id="0">
        <cx:catScaling gapWidth="1.25999999"/>
        <cx:tickLabels/>
      </cx:axis>
      <cx:axis id="1">
        <cx:valScaling max="789"/>
        <cx:majorGridlines/>
        <cx:majorTickMarks type="in"/>
        <cx:minorTickMarks type="in"/>
        <cx:tickLabels/>
      </cx:axis>
    </cx:plotArea>
    <cx:legend pos="t" align="ctr" overlay="0"/>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plotArea>
      <cx:plotAreaRegion>
        <cx:series layoutId="clusteredColumn" uniqueId="{676F9877-74FB-4ED6-908B-E9E7354F31FF}">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microsoft.com/office/2014/relationships/chartEx" Target="../charts/chartEx3.xml"/><Relationship Id="rId3" Type="http://schemas.openxmlformats.org/officeDocument/2006/relationships/chart" Target="../charts/chart6.xml"/><Relationship Id="rId7" Type="http://schemas.openxmlformats.org/officeDocument/2006/relationships/chart" Target="../charts/chart8.xml"/><Relationship Id="rId2" Type="http://schemas.openxmlformats.org/officeDocument/2006/relationships/chart" Target="../charts/chart5.xml"/><Relationship Id="rId1" Type="http://schemas.openxmlformats.org/officeDocument/2006/relationships/chart" Target="../charts/chart4.xml"/><Relationship Id="rId6" Type="http://schemas.microsoft.com/office/2014/relationships/chartEx" Target="../charts/chartEx2.xml"/><Relationship Id="rId5" Type="http://schemas.openxmlformats.org/officeDocument/2006/relationships/chart" Target="../charts/chart7.xml"/><Relationship Id="rId4" Type="http://schemas.microsoft.com/office/2014/relationships/chartEx" Target="../charts/chartEx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pPr algn="ct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xmlns:a14="http://schemas.microsoft.com/office/drawing/2010/main">
      <mc:Choice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mlns="">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xmlns:a14="http://schemas.microsoft.com/office/drawing/2010/main">
      <mc:Choice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mlns="">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3</xdr:row>
      <xdr:rowOff>144780</xdr:rowOff>
    </xdr:from>
    <xdr:to>
      <xdr:col>10</xdr:col>
      <xdr:colOff>533400</xdr:colOff>
      <xdr:row>18</xdr:row>
      <xdr:rowOff>144780</xdr:rowOff>
    </xdr:to>
    <xdr:graphicFrame macro="">
      <xdr:nvGraphicFramePr>
        <xdr:cNvPr id="3" name="Chart 2">
          <a:extLst>
            <a:ext uri="{FF2B5EF4-FFF2-40B4-BE49-F238E27FC236}">
              <a16:creationId xmlns:a16="http://schemas.microsoft.com/office/drawing/2014/main" id="{186BF6AA-6282-2A5A-16F0-F650B0CBCC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22860</xdr:colOff>
      <xdr:row>9</xdr:row>
      <xdr:rowOff>129540</xdr:rowOff>
    </xdr:from>
    <xdr:to>
      <xdr:col>16</xdr:col>
      <xdr:colOff>358140</xdr:colOff>
      <xdr:row>21</xdr:row>
      <xdr:rowOff>38100</xdr:rowOff>
    </xdr:to>
    <xdr:graphicFrame macro="">
      <xdr:nvGraphicFramePr>
        <xdr:cNvPr id="4" name="Chart 3">
          <a:extLst>
            <a:ext uri="{FF2B5EF4-FFF2-40B4-BE49-F238E27FC236}">
              <a16:creationId xmlns:a16="http://schemas.microsoft.com/office/drawing/2014/main" id="{A06DB9CF-E6A8-4D35-126C-D432CCA1D2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22</xdr:col>
      <xdr:colOff>373380</xdr:colOff>
      <xdr:row>5</xdr:row>
      <xdr:rowOff>106680</xdr:rowOff>
    </xdr:from>
    <xdr:to>
      <xdr:col>30</xdr:col>
      <xdr:colOff>251460</xdr:colOff>
      <xdr:row>22</xdr:row>
      <xdr:rowOff>60960</xdr:rowOff>
    </xdr:to>
    <xdr:graphicFrame macro="">
      <xdr:nvGraphicFramePr>
        <xdr:cNvPr id="5" name="Chart 4">
          <a:extLst>
            <a:ext uri="{FF2B5EF4-FFF2-40B4-BE49-F238E27FC236}">
              <a16:creationId xmlns:a16="http://schemas.microsoft.com/office/drawing/2014/main" id="{871B9890-1CFB-E725-7A08-8B9B8ECB0C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34</xdr:col>
      <xdr:colOff>281940</xdr:colOff>
      <xdr:row>5</xdr:row>
      <xdr:rowOff>53340</xdr:rowOff>
    </xdr:from>
    <xdr:to>
      <xdr:col>41</xdr:col>
      <xdr:colOff>586740</xdr:colOff>
      <xdr:row>20</xdr:row>
      <xdr:rowOff>7620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EA802AC4-CC92-FF30-FB40-04BF07A6467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21358860" y="96774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42</xdr:col>
      <xdr:colOff>449579</xdr:colOff>
      <xdr:row>11</xdr:row>
      <xdr:rowOff>22856</xdr:rowOff>
    </xdr:from>
    <xdr:to>
      <xdr:col>48</xdr:col>
      <xdr:colOff>411479</xdr:colOff>
      <xdr:row>24</xdr:row>
      <xdr:rowOff>121154</xdr:rowOff>
    </xdr:to>
    <xdr:graphicFrame macro="">
      <xdr:nvGraphicFramePr>
        <xdr:cNvPr id="2" name="Chart 1">
          <a:extLst>
            <a:ext uri="{FF2B5EF4-FFF2-40B4-BE49-F238E27FC236}">
              <a16:creationId xmlns:a16="http://schemas.microsoft.com/office/drawing/2014/main" id="{048B8A86-4F5B-E0C3-6980-C4872D81D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54</xdr:col>
      <xdr:colOff>381000</xdr:colOff>
      <xdr:row>0</xdr:row>
      <xdr:rowOff>0</xdr:rowOff>
    </xdr:from>
    <xdr:to>
      <xdr:col>60</xdr:col>
      <xdr:colOff>121920</xdr:colOff>
      <xdr:row>24</xdr:row>
      <xdr:rowOff>30480</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1F51477F-15F2-00AA-C20C-6D5F65F977D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34328100" y="0"/>
              <a:ext cx="3398520" cy="446532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61</xdr:col>
      <xdr:colOff>586740</xdr:colOff>
      <xdr:row>9</xdr:row>
      <xdr:rowOff>83820</xdr:rowOff>
    </xdr:from>
    <xdr:to>
      <xdr:col>68</xdr:col>
      <xdr:colOff>518160</xdr:colOff>
      <xdr:row>24</xdr:row>
      <xdr:rowOff>83820</xdr:rowOff>
    </xdr:to>
    <xdr:graphicFrame macro="">
      <xdr:nvGraphicFramePr>
        <xdr:cNvPr id="10" name="Chart 9">
          <a:extLst>
            <a:ext uri="{FF2B5EF4-FFF2-40B4-BE49-F238E27FC236}">
              <a16:creationId xmlns:a16="http://schemas.microsoft.com/office/drawing/2014/main" id="{B7F24887-E91D-1202-B5B6-70789BA94D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73</xdr:col>
      <xdr:colOff>22860</xdr:colOff>
      <xdr:row>5</xdr:row>
      <xdr:rowOff>137160</xdr:rowOff>
    </xdr:from>
    <xdr:to>
      <xdr:col>80</xdr:col>
      <xdr:colOff>327660</xdr:colOff>
      <xdr:row>20</xdr:row>
      <xdr:rowOff>91440</xdr:rowOff>
    </xdr:to>
    <mc:AlternateContent xmlns:mc="http://schemas.openxmlformats.org/markup-compatibility/2006">
      <mc:Choice xmlns:cx1="http://schemas.microsoft.com/office/drawing/2015/9/8/chartex" Requires="cx1">
        <xdr:graphicFrame macro="">
          <xdr:nvGraphicFramePr>
            <xdr:cNvPr id="11" name="Chart 10">
              <a:extLst>
                <a:ext uri="{FF2B5EF4-FFF2-40B4-BE49-F238E27FC236}">
                  <a16:creationId xmlns:a16="http://schemas.microsoft.com/office/drawing/2014/main" id="{30B895C6-1728-0BF5-1241-50D045D8A51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45925740" y="105156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29">
      <pivotArea collapsedLevelsAreSubtotals="1" fieldPosition="0">
        <references count="1">
          <reference field="4294967294" count="2">
            <x v="1"/>
            <x v="2"/>
          </reference>
        </references>
      </pivotArea>
    </format>
    <format dxfId="28">
      <pivotArea collapsedLevelsAreSubtotals="1" fieldPosition="0">
        <references count="1">
          <reference field="4294967294" count="1">
            <x v="1"/>
          </reference>
        </references>
      </pivotArea>
    </format>
    <format dxfId="27">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0"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0"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2CAD0D92-DCA8-499C-BA0B-244491F359C6}"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5" xr16:uid="{C62329A2-1148-475E-ACBB-BCAE8C2F20D0}" autoFormatId="16" applyNumberFormats="0" applyBorderFormats="0" applyFontFormats="0" applyPatternFormats="0" applyAlignmentFormats="0" applyWidthHeightFormats="0">
  <queryTableRefresh nextId="5">
    <queryTableFields count="4">
      <queryTableField id="1" name="Trade ID" tableColumnId="1"/>
      <queryTableField id="2" name="Pair" tableColumnId="2"/>
      <queryTableField id="3" name="Profit" tableColumnId="3"/>
      <queryTableField id="4" name="Session"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E6981D-6E22-4BF8-AF31-C1489BD0484D}" name="trading_raw_data2" displayName="trading_raw_data2" ref="A1:K102" tableType="queryTable" totalsRowShown="0">
  <autoFilter ref="A1:K102" xr:uid="{B6E6981D-6E22-4BF8-AF31-C1489BD0484D}"/>
  <tableColumns count="11">
    <tableColumn id="1" xr3:uid="{DEAFCCAC-929A-4BE3-ABB9-4A21B865787B}" uniqueName="1" name="TradeID" queryTableFieldId="1"/>
    <tableColumn id="2" xr3:uid="{D1D2BA20-4CC5-441E-A8B5-B3F7F39C499A}" uniqueName="2" name="AccountID" queryTableFieldId="2"/>
    <tableColumn id="3" xr3:uid="{C0E0D238-6B85-4AAF-9828-75D566C3C5D4}" uniqueName="3" name="Pair" queryTableFieldId="3" dataDxfId="21"/>
    <tableColumn id="4" xr3:uid="{013F12D1-A458-49D9-A425-F96512322D7C}" uniqueName="4" name="Session" queryTableFieldId="4" dataDxfId="20"/>
    <tableColumn id="5" xr3:uid="{E976AC18-9937-4B40-8C90-2FFD22F07FFA}" uniqueName="5" name="Direction" queryTableFieldId="5" dataDxfId="19"/>
    <tableColumn id="6" xr3:uid="{15E0BE54-E036-44C1-B628-124E8AC4C386}" uniqueName="6" name="Profit" queryTableFieldId="6"/>
    <tableColumn id="7" xr3:uid="{8373E35D-DE17-42C4-90B8-AB07043A5491}" uniqueName="7" name="R" queryTableFieldId="7"/>
    <tableColumn id="8" xr3:uid="{198C5385-1735-4D3A-95C1-E23CBE1FBAAC}" uniqueName="8" name="Risk Status" queryTableFieldId="8" dataDxfId="18"/>
    <tableColumn id="9" xr3:uid="{0635BE76-1153-480C-B91A-11264E311DE3}" uniqueName="9" name="Profit per R" queryTableFieldId="9"/>
    <tableColumn id="10" xr3:uid="{A41398CA-88AB-44D9-8D8A-7D7CBB420D33}" uniqueName="10" name="Result" queryTableFieldId="10" dataDxfId="17"/>
    <tableColumn id="11" xr3:uid="{DB2642B3-4F8B-4188-8A62-F2A8B44AF731}" uniqueName="11" name="TradeDate" queryTableFieldId="11" dataDxfId="1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8E7843-CB8E-46F3-B8BC-9593EF37321B}" name="Sheet1__2" displayName="Sheet1__2" ref="A1:D5" tableType="queryTable" totalsRowShown="0">
  <autoFilter ref="A1:D5" xr:uid="{C58E7843-CB8E-46F3-B8BC-9593EF37321B}"/>
  <tableColumns count="4">
    <tableColumn id="1" xr3:uid="{B39BD21D-B2D1-4843-9EAD-E53FCCD69796}" uniqueName="1" name="Trade ID" queryTableFieldId="1"/>
    <tableColumn id="2" xr3:uid="{20E1A342-6F2F-45A0-AC59-DE6299B16F1D}" uniqueName="2" name="Pair" queryTableFieldId="2" dataDxfId="7"/>
    <tableColumn id="3" xr3:uid="{4ADA6734-E211-421C-A1AE-8F8E4ACC7BB7}" uniqueName="3" name="Profit" queryTableFieldId="3"/>
    <tableColumn id="4" xr3:uid="{76181D9B-3AA1-4FAD-BF28-32DC1814FE10}" uniqueName="4" name="Session" queryTableFieldId="4" dataDxfId="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898D9D1-CCD1-4F45-B0C4-469307080DC0}" name="malaga" displayName="malaga" ref="A1:A4" totalsRowShown="0" headerRowDxfId="0" dataDxfId="1" headerRowBorderDxfId="4" tableBorderDxfId="5" totalsRowBorderDxfId="3">
  <autoFilter ref="A1:A4" xr:uid="{8898D9D1-CCD1-4F45-B0C4-469307080DC0}"/>
  <tableColumns count="1">
    <tableColumn id="1" xr3:uid="{4DE73280-B320-4421-AB9F-A629F37303FD}" name="Trade Info"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C4D8FB-E0AC-4757-B831-7BB00F9C63E3}" name="Table4" displayName="Table4" ref="A1:D5" totalsRowShown="0" headerRowDxfId="8" headerRowBorderDxfId="14" tableBorderDxfId="15" totalsRowBorderDxfId="13">
  <autoFilter ref="A1:D5" xr:uid="{B6C4D8FB-E0AC-4757-B831-7BB00F9C63E3}"/>
  <tableColumns count="4">
    <tableColumn id="1" xr3:uid="{8A4A914F-2A97-4258-BF53-73B076E2AA20}" name="Trade ID" dataDxfId="12"/>
    <tableColumn id="2" xr3:uid="{984AD87F-5401-4021-A7DA-92C6CAC240B8}" name="Pair" dataDxfId="11"/>
    <tableColumn id="3" xr3:uid="{6CFAAA57-DD75-471D-B1E8-E9EA1ABF7A0A}" name="Profit" dataDxfId="10"/>
    <tableColumn id="4" xr3:uid="{4205F447-2A90-4E7D-AEFF-D041CFA1E26B}" name="Session" dataDxfId="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2" totalsRowShown="0">
  <autoFilter ref="A1:K102"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26">
      <calculatedColumnFormula>IF(OR(dataraw[[#This Row],[R]]&gt;=2,dataraw[[#This Row],[Profit]]&gt;500),"GOOD","REVIEW")</calculatedColumnFormula>
    </tableColumn>
    <tableColumn id="14" xr3:uid="{4778648E-2E5E-4C3F-BBFA-07AD84B520D7}" name="Profit per R" dataDxfId="25">
      <calculatedColumnFormula>IFERROR(dataraw[[#This Row],[Profit]]/dataraw[[#This Row],[R]],"0")</calculatedColumnFormula>
    </tableColumn>
    <tableColumn id="8" xr3:uid="{CC96218F-2F0A-46BB-98E4-8AE8218DB3D7}" name="Result"/>
    <tableColumn id="9" xr3:uid="{33DFF7EB-37F8-4413-89B2-47AF0ABF1AB0}" name="TradeDate" dataDxfId="24"/>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opLeftCell="I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30C4D-A81C-4CDE-AB51-4B6E16CE55F8}">
  <dimension ref="B3:BT21"/>
  <sheetViews>
    <sheetView tabSelected="1" topLeftCell="BK1" workbookViewId="0">
      <selection activeCell="BT7" sqref="BT7:BT13"/>
    </sheetView>
  </sheetViews>
  <sheetFormatPr defaultRowHeight="14.4" x14ac:dyDescent="0.3"/>
  <cols>
    <col min="3" max="3" width="10.109375" customWidth="1"/>
    <col min="13" max="13" width="9.6640625" bestFit="1" customWidth="1"/>
    <col min="14" max="14" width="11.5546875" customWidth="1"/>
    <col min="33" max="33" width="9.33203125" bestFit="1" customWidth="1"/>
    <col min="37" max="37" width="8.88671875" customWidth="1"/>
    <col min="45" max="45" width="13.21875" bestFit="1" customWidth="1"/>
    <col min="46" max="46" width="14.44140625" bestFit="1" customWidth="1"/>
    <col min="64" max="64" width="11.6640625" customWidth="1"/>
    <col min="65" max="65" width="11.5546875" customWidth="1"/>
  </cols>
  <sheetData>
    <row r="3" spans="2:72" x14ac:dyDescent="0.3">
      <c r="AI3" s="19" t="s">
        <v>50</v>
      </c>
      <c r="AJ3" s="19"/>
      <c r="AK3" s="19"/>
      <c r="AL3" s="19"/>
      <c r="AM3" s="19"/>
      <c r="AN3" s="19"/>
      <c r="AO3" s="19"/>
    </row>
    <row r="4" spans="2:72" x14ac:dyDescent="0.3">
      <c r="M4" s="13" t="s">
        <v>42</v>
      </c>
      <c r="N4" s="13" t="s">
        <v>43</v>
      </c>
      <c r="AI4" s="19"/>
      <c r="AJ4" s="19"/>
      <c r="AK4" s="19"/>
      <c r="AL4" s="19"/>
      <c r="AM4" s="19"/>
      <c r="AN4" s="19"/>
      <c r="AO4" s="19"/>
      <c r="BL4" s="13" t="s">
        <v>72</v>
      </c>
      <c r="BM4" s="13" t="s">
        <v>37</v>
      </c>
      <c r="BN4" s="13" t="s">
        <v>73</v>
      </c>
    </row>
    <row r="5" spans="2:72" x14ac:dyDescent="0.3">
      <c r="B5" s="13" t="s">
        <v>36</v>
      </c>
      <c r="C5" s="13" t="s">
        <v>37</v>
      </c>
      <c r="M5" s="12" t="s">
        <v>38</v>
      </c>
      <c r="N5" s="12">
        <v>100</v>
      </c>
      <c r="T5" s="19" t="s">
        <v>44</v>
      </c>
      <c r="U5" s="19"/>
      <c r="V5" s="19"/>
      <c r="W5" s="19"/>
      <c r="X5" s="19"/>
      <c r="AI5" s="19"/>
      <c r="AJ5" s="19"/>
      <c r="AK5" s="19"/>
      <c r="AL5" s="19"/>
      <c r="AM5" s="19"/>
      <c r="AN5" s="19"/>
      <c r="AO5" s="19"/>
      <c r="AT5" s="19"/>
      <c r="AU5" s="19"/>
      <c r="AV5" s="19"/>
      <c r="AW5" s="19"/>
      <c r="AX5" s="19"/>
      <c r="AY5" s="19"/>
      <c r="AZ5" s="19" t="s">
        <v>58</v>
      </c>
      <c r="BA5" s="19"/>
      <c r="BB5" s="19"/>
      <c r="BC5" s="19"/>
      <c r="BD5" s="19"/>
      <c r="BL5" s="12" t="s">
        <v>68</v>
      </c>
      <c r="BM5" s="12">
        <v>45</v>
      </c>
      <c r="BN5" s="12">
        <v>56</v>
      </c>
    </row>
    <row r="6" spans="2:72" x14ac:dyDescent="0.3">
      <c r="B6" s="12" t="s">
        <v>32</v>
      </c>
      <c r="C6" s="12">
        <v>1563</v>
      </c>
      <c r="M6" s="12" t="s">
        <v>39</v>
      </c>
      <c r="N6" s="12">
        <v>54</v>
      </c>
      <c r="AS6" s="16" t="s">
        <v>55</v>
      </c>
      <c r="AT6" s="16" t="s">
        <v>56</v>
      </c>
      <c r="BL6" s="12" t="s">
        <v>69</v>
      </c>
      <c r="BM6" s="12">
        <v>65</v>
      </c>
      <c r="BN6" s="12">
        <v>89</v>
      </c>
    </row>
    <row r="7" spans="2:72" ht="18" x14ac:dyDescent="0.35">
      <c r="B7" s="12" t="s">
        <v>33</v>
      </c>
      <c r="C7" s="12">
        <v>654</v>
      </c>
      <c r="M7" s="12" t="s">
        <v>40</v>
      </c>
      <c r="N7" s="12">
        <v>100</v>
      </c>
      <c r="U7" s="15" t="s">
        <v>45</v>
      </c>
      <c r="V7" s="15" t="s">
        <v>46</v>
      </c>
      <c r="AG7" s="12" t="s">
        <v>40</v>
      </c>
      <c r="AH7" s="12">
        <v>4</v>
      </c>
      <c r="AS7" s="14" t="s">
        <v>51</v>
      </c>
      <c r="AT7" s="14">
        <v>4</v>
      </c>
      <c r="AZ7" s="17" t="s">
        <v>57</v>
      </c>
      <c r="BL7" s="12" t="s">
        <v>70</v>
      </c>
      <c r="BM7" s="12">
        <v>43</v>
      </c>
      <c r="BN7" s="12">
        <v>20</v>
      </c>
      <c r="BT7">
        <v>438</v>
      </c>
    </row>
    <row r="8" spans="2:72" x14ac:dyDescent="0.3">
      <c r="B8" s="12" t="s">
        <v>34</v>
      </c>
      <c r="C8" s="12">
        <v>-64</v>
      </c>
      <c r="M8" s="12" t="s">
        <v>41</v>
      </c>
      <c r="N8" s="12">
        <v>60</v>
      </c>
      <c r="U8" s="14">
        <v>10</v>
      </c>
      <c r="V8" s="14">
        <v>189</v>
      </c>
      <c r="AG8" s="12" t="s">
        <v>47</v>
      </c>
      <c r="AH8" s="12">
        <v>3</v>
      </c>
      <c r="AS8" s="14" t="s">
        <v>52</v>
      </c>
      <c r="AT8" s="14">
        <v>7</v>
      </c>
      <c r="AZ8" s="14">
        <v>200</v>
      </c>
      <c r="BL8" s="12" t="s">
        <v>71</v>
      </c>
      <c r="BM8" s="12">
        <v>98</v>
      </c>
      <c r="BN8" s="12">
        <v>87</v>
      </c>
      <c r="BT8">
        <v>773</v>
      </c>
    </row>
    <row r="9" spans="2:72" x14ac:dyDescent="0.3">
      <c r="B9" s="12" t="s">
        <v>35</v>
      </c>
      <c r="C9" s="12">
        <v>763</v>
      </c>
      <c r="U9" s="14">
        <v>12</v>
      </c>
      <c r="V9" s="14">
        <v>190</v>
      </c>
      <c r="AG9" s="12" t="s">
        <v>48</v>
      </c>
      <c r="AH9" s="12">
        <v>6</v>
      </c>
      <c r="AS9" s="14" t="s">
        <v>53</v>
      </c>
      <c r="AT9" s="14">
        <v>8</v>
      </c>
      <c r="AZ9" s="14">
        <v>198</v>
      </c>
      <c r="BT9">
        <v>773</v>
      </c>
    </row>
    <row r="10" spans="2:72" x14ac:dyDescent="0.3">
      <c r="U10" s="14">
        <v>14</v>
      </c>
      <c r="V10" s="14">
        <v>199</v>
      </c>
      <c r="AG10" s="12" t="s">
        <v>49</v>
      </c>
      <c r="AH10" s="12">
        <v>2</v>
      </c>
      <c r="AS10" s="14" t="s">
        <v>54</v>
      </c>
      <c r="AT10" s="14">
        <v>2</v>
      </c>
      <c r="AZ10" s="14">
        <v>171</v>
      </c>
      <c r="BT10">
        <v>552</v>
      </c>
    </row>
    <row r="11" spans="2:72" x14ac:dyDescent="0.3">
      <c r="U11" s="14">
        <v>17</v>
      </c>
      <c r="V11" s="14">
        <v>203</v>
      </c>
      <c r="AG11" s="12"/>
      <c r="AH11" s="12"/>
      <c r="AZ11" s="14">
        <v>160</v>
      </c>
      <c r="BT11">
        <v>9298</v>
      </c>
    </row>
    <row r="12" spans="2:72" x14ac:dyDescent="0.3">
      <c r="U12" s="14">
        <v>20</v>
      </c>
      <c r="V12" s="14">
        <v>233</v>
      </c>
      <c r="AZ12" s="14">
        <v>160</v>
      </c>
      <c r="BT12">
        <v>51551</v>
      </c>
    </row>
    <row r="13" spans="2:72" x14ac:dyDescent="0.3">
      <c r="U13" s="14">
        <v>24</v>
      </c>
      <c r="V13" s="14">
        <v>300</v>
      </c>
      <c r="AZ13" s="14">
        <v>154</v>
      </c>
      <c r="BT13">
        <v>883</v>
      </c>
    </row>
    <row r="14" spans="2:72" x14ac:dyDescent="0.3">
      <c r="U14" s="14">
        <v>29</v>
      </c>
      <c r="V14" s="14">
        <v>379</v>
      </c>
      <c r="AZ14" s="14">
        <v>120</v>
      </c>
    </row>
    <row r="15" spans="2:72" x14ac:dyDescent="0.3">
      <c r="AZ15" s="14">
        <v>-50</v>
      </c>
    </row>
    <row r="16" spans="2:72" x14ac:dyDescent="0.3">
      <c r="AZ16" s="14">
        <v>-100</v>
      </c>
    </row>
    <row r="17" spans="51:52" x14ac:dyDescent="0.3">
      <c r="AZ17" s="14">
        <v>-100</v>
      </c>
    </row>
    <row r="18" spans="51:52" x14ac:dyDescent="0.3">
      <c r="AZ18" s="14">
        <v>-102</v>
      </c>
    </row>
    <row r="19" spans="51:52" x14ac:dyDescent="0.3">
      <c r="AZ19" s="18">
        <v>782</v>
      </c>
    </row>
    <row r="20" spans="51:52" x14ac:dyDescent="0.3">
      <c r="AY20" t="s">
        <v>59</v>
      </c>
      <c r="AZ20">
        <f>MEDIAN(AZ8:AZ19)</f>
        <v>157</v>
      </c>
    </row>
    <row r="21" spans="51:52" x14ac:dyDescent="0.3">
      <c r="AY21" t="s">
        <v>60</v>
      </c>
      <c r="AZ21">
        <f>AVERAGE(AZ8:AZ19)</f>
        <v>132.75</v>
      </c>
    </row>
  </sheetData>
  <sortState xmlns:xlrd2="http://schemas.microsoft.com/office/spreadsheetml/2017/richdata2" ref="AZ8:AZ18">
    <sortCondition descending="1" ref="AZ8:AZ18"/>
  </sortState>
  <mergeCells count="4">
    <mergeCell ref="T5:X5"/>
    <mergeCell ref="AI3:AO5"/>
    <mergeCell ref="AT5:AY5"/>
    <mergeCell ref="AZ5:BD5"/>
  </mergeCells>
  <phoneticPr fontId="19"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CAD51-F748-45E7-BF24-BBEDFF3C42AA}">
  <dimension ref="A1:K102"/>
  <sheetViews>
    <sheetView workbookViewId="0"/>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row r="102" spans="1:11" x14ac:dyDescent="0.3">
      <c r="A102">
        <v>58</v>
      </c>
      <c r="B102">
        <v>10005</v>
      </c>
      <c r="C102" s="6" t="s">
        <v>18</v>
      </c>
      <c r="D102" s="6" t="s">
        <v>10</v>
      </c>
      <c r="E102" s="6" t="s">
        <v>11</v>
      </c>
      <c r="F102">
        <v>-250</v>
      </c>
      <c r="G102">
        <v>-1</v>
      </c>
      <c r="H102" s="6" t="s">
        <v>23</v>
      </c>
      <c r="I102">
        <v>250</v>
      </c>
      <c r="J102" s="6"/>
      <c r="K102" s="1">
        <v>46104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B0925-FE63-41EC-990B-2376EE83195E}">
  <dimension ref="A1:D5"/>
  <sheetViews>
    <sheetView workbookViewId="0"/>
  </sheetViews>
  <sheetFormatPr defaultRowHeight="14.4" x14ac:dyDescent="0.3"/>
  <cols>
    <col min="1" max="1" width="10" bestFit="1" customWidth="1"/>
    <col min="2" max="2" width="8" bestFit="1" customWidth="1"/>
    <col min="3" max="3" width="7.77734375" bestFit="1" customWidth="1"/>
    <col min="4" max="4" width="9.6640625" bestFit="1" customWidth="1"/>
  </cols>
  <sheetData>
    <row r="1" spans="1:4" x14ac:dyDescent="0.3">
      <c r="A1" t="s">
        <v>61</v>
      </c>
      <c r="B1" t="s">
        <v>2</v>
      </c>
      <c r="C1" t="s">
        <v>5</v>
      </c>
      <c r="D1" t="s">
        <v>3</v>
      </c>
    </row>
    <row r="2" spans="1:4" x14ac:dyDescent="0.3">
      <c r="A2">
        <v>101</v>
      </c>
      <c r="B2" s="6" t="s">
        <v>9</v>
      </c>
      <c r="C2">
        <v>120</v>
      </c>
      <c r="D2" s="6" t="s">
        <v>63</v>
      </c>
    </row>
    <row r="3" spans="1:4" x14ac:dyDescent="0.3">
      <c r="A3">
        <v>102</v>
      </c>
      <c r="B3" s="6" t="s">
        <v>15</v>
      </c>
      <c r="C3">
        <v>200</v>
      </c>
      <c r="D3" s="6" t="s">
        <v>63</v>
      </c>
    </row>
    <row r="4" spans="1:4" x14ac:dyDescent="0.3">
      <c r="A4">
        <v>101</v>
      </c>
      <c r="B4" s="6" t="s">
        <v>9</v>
      </c>
      <c r="C4">
        <v>120</v>
      </c>
      <c r="D4" s="6" t="s">
        <v>63</v>
      </c>
    </row>
    <row r="5" spans="1:4" x14ac:dyDescent="0.3">
      <c r="A5">
        <v>103</v>
      </c>
      <c r="B5" s="6" t="s">
        <v>13</v>
      </c>
      <c r="C5">
        <v>-50</v>
      </c>
      <c r="D5" s="6" t="s">
        <v>63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E11DC-B91A-4B7F-B86E-AFB2977E58DF}">
  <dimension ref="A1:A4"/>
  <sheetViews>
    <sheetView workbookViewId="0">
      <selection activeCell="K4" sqref="K4"/>
    </sheetView>
  </sheetViews>
  <sheetFormatPr defaultRowHeight="14.4" x14ac:dyDescent="0.3"/>
  <cols>
    <col min="1" max="1" width="24.77734375" customWidth="1"/>
  </cols>
  <sheetData>
    <row r="1" spans="1:1" ht="28.8" x14ac:dyDescent="0.3">
      <c r="A1" s="30" t="s">
        <v>64</v>
      </c>
    </row>
    <row r="2" spans="1:1" ht="28.8" x14ac:dyDescent="0.3">
      <c r="A2" s="29" t="s">
        <v>65</v>
      </c>
    </row>
    <row r="3" spans="1:1" ht="28.8" x14ac:dyDescent="0.3">
      <c r="A3" s="29" t="s">
        <v>66</v>
      </c>
    </row>
    <row r="4" spans="1:1" x14ac:dyDescent="0.3">
      <c r="A4" s="31" t="s">
        <v>67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1633-50A9-498A-9D00-16DD520B0E09}">
  <dimension ref="A1:D5"/>
  <sheetViews>
    <sheetView workbookViewId="0">
      <selection activeCell="C3" sqref="C3"/>
    </sheetView>
  </sheetViews>
  <sheetFormatPr defaultRowHeight="14.4" x14ac:dyDescent="0.3"/>
  <cols>
    <col min="1" max="1" width="9.6640625" customWidth="1"/>
    <col min="4" max="4" width="9.33203125" customWidth="1"/>
  </cols>
  <sheetData>
    <row r="1" spans="1:4" x14ac:dyDescent="0.3">
      <c r="A1" s="23" t="s">
        <v>61</v>
      </c>
      <c r="B1" s="24" t="s">
        <v>2</v>
      </c>
      <c r="C1" s="24" t="s">
        <v>5</v>
      </c>
      <c r="D1" s="25" t="s">
        <v>3</v>
      </c>
    </row>
    <row r="2" spans="1:4" x14ac:dyDescent="0.3">
      <c r="A2" s="21">
        <v>101</v>
      </c>
      <c r="B2" s="20" t="s">
        <v>9</v>
      </c>
      <c r="C2" s="20">
        <v>120</v>
      </c>
      <c r="D2" s="22" t="s">
        <v>62</v>
      </c>
    </row>
    <row r="3" spans="1:4" x14ac:dyDescent="0.3">
      <c r="A3" s="21">
        <v>102</v>
      </c>
      <c r="B3" s="20" t="s">
        <v>15</v>
      </c>
      <c r="C3" s="20">
        <v>200</v>
      </c>
      <c r="D3" s="22" t="s">
        <v>62</v>
      </c>
    </row>
    <row r="4" spans="1:4" x14ac:dyDescent="0.3">
      <c r="A4" s="21">
        <v>101</v>
      </c>
      <c r="B4" s="20" t="s">
        <v>9</v>
      </c>
      <c r="C4" s="20">
        <v>120</v>
      </c>
      <c r="D4" s="22" t="s">
        <v>62</v>
      </c>
    </row>
    <row r="5" spans="1:4" x14ac:dyDescent="0.3">
      <c r="A5" s="26">
        <v>103</v>
      </c>
      <c r="B5" s="27" t="s">
        <v>13</v>
      </c>
      <c r="C5" s="27">
        <v>-50</v>
      </c>
      <c r="D5" s="28" t="s">
        <v>62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2"/>
  <sheetViews>
    <sheetView topLeftCell="A34" workbookViewId="0">
      <selection activeCell="G34" sqref="G1:G1048576"/>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row r="102" spans="1:11" x14ac:dyDescent="0.3">
      <c r="A102">
        <v>58</v>
      </c>
      <c r="B102">
        <v>10005</v>
      </c>
      <c r="C102" t="s">
        <v>18</v>
      </c>
      <c r="D102" t="s">
        <v>10</v>
      </c>
      <c r="E102" t="s">
        <v>11</v>
      </c>
      <c r="F102">
        <v>-250</v>
      </c>
      <c r="G102">
        <v>-1</v>
      </c>
      <c r="H102" s="6" t="str">
        <f>IF(OR(dataraw[[#This Row],[R]]&gt;=2,dataraw[[#This Row],[Profit]]&gt;500),"GOOD","REVIEW")</f>
        <v>REVIEW</v>
      </c>
      <c r="I102" s="6">
        <f>IFERROR(dataraw[[#This Row],[Profit]]/dataraw[[#This Row],[R]],"0")</f>
        <v>250</v>
      </c>
      <c r="K102" s="1">
        <v>46104</v>
      </c>
    </row>
  </sheetData>
  <conditionalFormatting sqref="A1">
    <cfRule type="duplicateValues" dxfId="23" priority="2"/>
  </conditionalFormatting>
  <conditionalFormatting sqref="A1:A1048576">
    <cfRule type="duplicateValues" dxfId="22"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DASHBOARD</vt:lpstr>
      <vt:lpstr>charts</vt:lpstr>
      <vt:lpstr>PIVOT</vt:lpstr>
      <vt:lpstr>trading_raw_data2 (2)</vt:lpstr>
      <vt:lpstr>Sheet1 (2)</vt:lpstr>
      <vt:lpstr>malaga</vt:lpstr>
      <vt:lpstr>Sheet1</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2026-10-02T19:31:43Z</dcterms:modified>
</cp:coreProperties>
</file>