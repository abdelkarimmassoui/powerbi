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7AEA53F2-0867-479F-B475-EC0EE6456A18}" xr6:coauthVersionLast="47" xr6:coauthVersionMax="47" xr10:uidLastSave="{00000000-0000-0000-0000-000000000000}"/>
  <bookViews>
    <workbookView xWindow="-108" yWindow="-108" windowWidth="23256" windowHeight="12456" activeTab="1" xr2:uid="{29389193-7256-4448-99EA-708D1049F25F}"/>
  </bookViews>
  <sheets>
    <sheet name="DASHBOARD" sheetId="15" r:id="rId1"/>
    <sheet name="charts" sheetId="16" r:id="rId2"/>
    <sheet name="PIVOT" sheetId="14" r:id="rId3"/>
    <sheet name="table data" sheetId="12" r:id="rId4"/>
    <sheet name="trading_raw_data2" sheetId="1" r:id="rId5"/>
  </sheets>
  <definedNames>
    <definedName name="_xlchart.v1.0" hidden="1">charts!$AG$7:$AG$10</definedName>
    <definedName name="_xlchart.v1.1" hidden="1">charts!$AH$7:$AH$10</definedName>
    <definedName name="_xlchart.v1.2" hidden="1">charts!$AZ$7</definedName>
    <definedName name="_xlchart.v1.3" hidden="1">charts!$AZ$8:$AZ$19</definedName>
    <definedName name="_xlchart.v1.4" hidden="1">charts!$AZ$7</definedName>
    <definedName name="_xlchart.v1.5" hidden="1">charts!$AZ$8:$AZ$19</definedName>
    <definedName name="ExternalData_1" localSheetId="3" hidden="1">'table data'!$A$1:$K$101</definedName>
    <definedName name="Slicer_Pair">#N/A</definedName>
    <definedName name="Slicer_Sessi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Z21" i="16" l="1"/>
  <c r="AZ20" i="16"/>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<sst xmlns="http://schemas.openxmlformats.org/spreadsheetml/2006/main" count="977" uniqueCount="61">
  <si>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</si>
  <si>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</si>
  <si>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</si>
  <si>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</si>
  <si>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</si>
  <si>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</si>
  <si>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</si>
  <si>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</si>
  <si>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</si>
  <si>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</si>
  <si>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</si>
  <si>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</si>
  <si>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</si>
  <si>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</si>
  <si>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</si>
  <si>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</si>
  <si>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</si>
  <si>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</si>
  <si>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</si>
  <si>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</si>
  <si>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</si>
  <si>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</si>
  <si>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</si>
  <si>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</si>
  <si>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</si>
  <si>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</si>
  <si>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</si>
  <si>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</si>
  <si>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</si>
  <si>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</si>
  <si>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</si>
  <si>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</si>
  <si>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</si>
  <si>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</si>
  <si>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</si>
  <si>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</si>
  <si>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</si>
  <si>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</si>
  <si>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</si>
  <si>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</si>
  <si>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</si>
  <si>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</si>
  <si>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</si>
  <si>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</si>
  <si>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</si>
  <si>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</si>
  <si>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</si>
  <si>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</si>
  <si>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</si>
  <si>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</si>
  <si>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</si>
  <si>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</si>
  <si>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</si>
  <si>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</si>
  <si>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</si>
  <si>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</si>
  <si>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</si>
  <si>
    <t>result</t>
  </si>
  <si>
    <t>box and wisker</t>
  </si>
  <si>
    <t>median</t>
  </si>
  <si>
    <t>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</si>
</sst>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0" fillId="0" borderId="0" xfId="0" applyAlignment="1">
      <alignment horizontal="center"/>
    </xf>
    <xf numFmtId="0" fontId="16" fillId="36" borderId="10" xfId="0" applyFont="1" applyFill="1" applyBorder="1"/>
    <xf numFmtId="0" fontId="16" fillId="36" borderId="10" xfId="0" applyFont="1" applyFill="1" applyBorder="1" applyAlignment="1">
      <alignment horizontal="center"/>
    </xf>
    <xf numFmtId="0" fontId="0" fillId="0" borderId="11" xfId="0" applyFill="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plotArea>
      <cx:plotAreaRegion>
        <cx:series layoutId="boxWhisker" uniqueId="{C71DBB1C-AB3E-42DB-B2BD-395DAF4DEF64}">
          <cx:tx>
            <cx:txData>
              <cx:f>_xlchart.v1.2</cx:f>
              <cx:v>result</cx:v>
            </cx:txData>
          </cx:tx>
          <cx:dataLabels pos="l">
            <cx:txPr>
              <a:bodyPr spcFirstLastPara="1" vertOverflow="ellipsis" horzOverflow="overflow" wrap="square" lIns="0" tIns="0" rIns="0" bIns="0" anchor="ctr" anchorCtr="1"/>
              <a:lstStyle/>
              <a:p>
                <a:pPr algn="ctr" rtl="0">
                  <a:defRPr>
                    <a:solidFill>
                      <a:schemeClr val="accent5">
                        <a:lumMod val="60000"/>
                        <a:lumOff val="40000"/>
                      </a:schemeClr>
                    </a:solidFill>
                  </a:defRPr>
                </a:pPr>
                <a:endParaRPr lang="en-US" sz="900" b="0" i="0" u="none" strike="noStrike" baseline="0">
                  <a:solidFill>
                    <a:schemeClr val="accent5">
                      <a:lumMod val="60000"/>
                      <a:lumOff val="40000"/>
                    </a:schemeClr>
                  </a:solidFill>
                  <a:latin typeface="Aptos Narrow" panose="02110004020202020204"/>
                </a:endParaRPr>
              </a:p>
            </cx:txPr>
            <cx:visibility seriesName="0" categoryName="0" value="1"/>
            <cx:separator>, </cx:separator>
          </cx:dataLabels>
          <cx:dataId val="0"/>
          <cx:layoutPr>
            <cx:visibility meanLine="0" meanMarker="1" nonoutliers="0" outliers="1"/>
            <cx:statistics quartileMethod="inclusive"/>
          </cx:layoutPr>
        </cx:series>
      </cx:plotAreaRegion>
      <cx:axis id="0">
        <cx:catScaling gapWidth="1.25999999"/>
        <cx:tickLabels/>
      </cx:axis>
      <cx:axis id="1">
        <cx:valScaling max="789"/>
        <cx:majorGridlines/>
        <cx:majorTickMarks type="in"/>
        <cx:minorTickMarks type="in"/>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microsoft.com/office/2014/relationships/chartEx" Target="../charts/chartEx2.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54</xdr:col>
      <xdr:colOff>381000</xdr:colOff>
      <xdr:row>0</xdr:row>
      <xdr:rowOff>0</xdr:rowOff>
    </xdr:from>
    <xdr:to>
      <xdr:col>60</xdr:col>
      <xdr:colOff>121920</xdr:colOff>
      <xdr:row>24</xdr:row>
      <xdr:rowOff>30480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1F51477F-15F2-00AA-C20C-6D5F65F977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4328100" y="0"/>
              <a:ext cx="3398520" cy="44653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13">
      <pivotArea collapsedLevelsAreSubtotals="1" fieldPosition="0">
        <references count="1">
          <reference field="4294967294" count="2">
            <x v="1"/>
            <x v="2"/>
          </reference>
        </references>
      </pivotArea>
    </format>
    <format dxfId="12">
      <pivotArea collapsedLevelsAreSubtotals="1" fieldPosition="0">
        <references count="1">
          <reference field="4294967294" count="1">
            <x v="1"/>
          </reference>
        </references>
      </pivotArea>
    </format>
    <format dxfId="11">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10"/>
    <tableColumn id="4" xr3:uid="{B0049864-1E12-47C0-8D45-1BD553A79BAB}" uniqueName="4" name="Session" queryTableFieldId="4" dataDxfId="9"/>
    <tableColumn id="5" xr3:uid="{B5B64422-7954-4A9C-B33D-8A5E60CB500D}" uniqueName="5" name="Direction" queryTableFieldId="5" dataDxfId="8"/>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7"/>
    <tableColumn id="9" xr3:uid="{5FB9330C-B7E2-4D0F-8CE9-5BCD5AD9DF22}" uniqueName="9" name="Profit per R" queryTableFieldId="9"/>
    <tableColumn id="10" xr3:uid="{7B07BC40-ABE4-4622-B96B-23717E82E09B}" uniqueName="10" name="Result" queryTableFieldId="10" dataDxfId="6"/>
    <tableColumn id="11" xr3:uid="{3DD01B60-6855-4A1D-9460-87483A9790C6}" uniqueName="11" name="TradeDate" queryTableFieldId="11" dataDxfId="5"/>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4">
      <calculatedColumnFormula>IF(OR(dataraw[[#This Row],[R]]&gt;=2,dataraw[[#This Row],[Profit]]&gt;500),"GOOD","REVIEW")</calculatedColumnFormula>
    </tableColumn>
    <tableColumn id="14" xr3:uid="{4778648E-2E5E-4C3F-BBFA-07AD84B520D7}" name="Profit per R" dataDxfId="3">
      <calculatedColumnFormula>IFERROR(dataraw[[#This Row],[Profit]]/dataraw[[#This Row],[R]],"0")</calculatedColumnFormula>
    </tableColumn>
    <tableColumn id="8" xr3:uid="{CC96218F-2F0A-46BB-98E4-8AE8218DB3D7}" name="Result"/>
    <tableColumn id="9" xr3:uid="{33DFF7EB-37F8-4413-89B2-47AF0ABF1AB0}" name="TradeDate" dataDxfId="2"/>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BD21"/>
  <sheetViews>
    <sheetView tabSelected="1" topLeftCell="AP1" workbookViewId="0">
      <selection activeCell="BC19" sqref="BC19"/>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s>
  <sheetData>
    <row r="3" spans="2:56" x14ac:dyDescent="0.3">
      <c r="AI3" s="16" t="s">
        <v>50</v>
      </c>
      <c r="AJ3" s="16"/>
      <c r="AK3" s="16"/>
      <c r="AL3" s="16"/>
      <c r="AM3" s="16"/>
      <c r="AN3" s="16"/>
      <c r="AO3" s="16"/>
    </row>
    <row r="4" spans="2:56" x14ac:dyDescent="0.3">
      <c r="M4" s="13" t="s">
        <v>42</v>
      </c>
      <c r="N4" s="13" t="s">
        <v>43</v>
      </c>
      <c r="AI4" s="16"/>
      <c r="AJ4" s="16"/>
      <c r="AK4" s="16"/>
      <c r="AL4" s="16"/>
      <c r="AM4" s="16"/>
      <c r="AN4" s="16"/>
      <c r="AO4" s="16"/>
    </row>
    <row r="5" spans="2:56" x14ac:dyDescent="0.3">
      <c r="B5" s="13" t="s">
        <v>36</v>
      </c>
      <c r="C5" s="13" t="s">
        <v>37</v>
      </c>
      <c r="M5" s="12" t="s">
        <v>38</v>
      </c>
      <c r="N5" s="12">
        <v>100</v>
      </c>
      <c r="T5" s="16" t="s">
        <v>44</v>
      </c>
      <c r="U5" s="16"/>
      <c r="V5" s="16"/>
      <c r="W5" s="16"/>
      <c r="X5" s="16"/>
      <c r="AI5" s="16"/>
      <c r="AJ5" s="16"/>
      <c r="AK5" s="16"/>
      <c r="AL5" s="16"/>
      <c r="AM5" s="16"/>
      <c r="AN5" s="16"/>
      <c r="AO5" s="16"/>
      <c r="AT5" s="16"/>
      <c r="AU5" s="16"/>
      <c r="AV5" s="16"/>
      <c r="AW5" s="16"/>
      <c r="AX5" s="16"/>
      <c r="AY5" s="16"/>
      <c r="AZ5" s="16" t="s">
        <v>58</v>
      </c>
      <c r="BA5" s="16"/>
      <c r="BB5" s="16"/>
      <c r="BC5" s="16"/>
      <c r="BD5" s="16"/>
    </row>
    <row r="6" spans="2:56" x14ac:dyDescent="0.3">
      <c r="B6" s="12" t="s">
        <v>32</v>
      </c>
      <c r="C6" s="12">
        <v>1563</v>
      </c>
      <c r="M6" s="12" t="s">
        <v>39</v>
      </c>
      <c r="N6" s="12">
        <v>54</v>
      </c>
      <c r="AS6" s="17" t="s">
        <v>55</v>
      </c>
      <c r="AT6" s="17" t="s">
        <v>56</v>
      </c>
    </row>
    <row r="7" spans="2:56" ht="18" x14ac:dyDescent="0.35">
      <c r="B7" s="12" t="s">
        <v>33</v>
      </c>
      <c r="C7" s="12">
        <v>654</v>
      </c>
      <c r="M7" s="12" t="s">
        <v>40</v>
      </c>
      <c r="N7" s="12">
        <v>100</v>
      </c>
      <c r="U7" s="15" t="s">
        <v>45</v>
      </c>
      <c r="V7" s="15" t="s">
        <v>46</v>
      </c>
      <c r="AG7" s="12" t="s">
        <v>40</v>
      </c>
      <c r="AH7" s="12">
        <v>4</v>
      </c>
      <c r="AS7" s="14" t="s">
        <v>51</v>
      </c>
      <c r="AT7" s="14">
        <v>4</v>
      </c>
      <c r="AZ7" s="18" t="s">
        <v>57</v>
      </c>
    </row>
    <row r="8" spans="2:56" x14ac:dyDescent="0.3">
      <c r="B8" s="12" t="s">
        <v>34</v>
      </c>
      <c r="C8" s="12">
        <v>-64</v>
      </c>
      <c r="M8" s="12" t="s">
        <v>41</v>
      </c>
      <c r="N8" s="12">
        <v>60</v>
      </c>
      <c r="U8" s="14">
        <v>10</v>
      </c>
      <c r="V8" s="14">
        <v>189</v>
      </c>
      <c r="AG8" s="12" t="s">
        <v>47</v>
      </c>
      <c r="AH8" s="12">
        <v>3</v>
      </c>
      <c r="AS8" s="14" t="s">
        <v>52</v>
      </c>
      <c r="AT8" s="14">
        <v>7</v>
      </c>
      <c r="AZ8" s="14">
        <v>200</v>
      </c>
    </row>
    <row r="9" spans="2:56" x14ac:dyDescent="0.3">
      <c r="B9" s="12" t="s">
        <v>35</v>
      </c>
      <c r="C9" s="12">
        <v>763</v>
      </c>
      <c r="U9" s="14">
        <v>12</v>
      </c>
      <c r="V9" s="14">
        <v>190</v>
      </c>
      <c r="AG9" s="12" t="s">
        <v>48</v>
      </c>
      <c r="AH9" s="12">
        <v>6</v>
      </c>
      <c r="AS9" s="14" t="s">
        <v>53</v>
      </c>
      <c r="AT9" s="14">
        <v>8</v>
      </c>
      <c r="AZ9" s="14">
        <v>198</v>
      </c>
    </row>
    <row r="10" spans="2:56" x14ac:dyDescent="0.3">
      <c r="U10" s="14">
        <v>14</v>
      </c>
      <c r="V10" s="14">
        <v>199</v>
      </c>
      <c r="AG10" s="12" t="s">
        <v>49</v>
      </c>
      <c r="AH10" s="12">
        <v>2</v>
      </c>
      <c r="AS10" s="14" t="s">
        <v>54</v>
      </c>
      <c r="AT10" s="14">
        <v>2</v>
      </c>
      <c r="AZ10" s="14">
        <v>171</v>
      </c>
    </row>
    <row r="11" spans="2:56" x14ac:dyDescent="0.3">
      <c r="U11" s="14">
        <v>17</v>
      </c>
      <c r="V11" s="14">
        <v>203</v>
      </c>
      <c r="AG11" s="12"/>
      <c r="AH11" s="12"/>
      <c r="AZ11" s="14">
        <v>160</v>
      </c>
    </row>
    <row r="12" spans="2:56" x14ac:dyDescent="0.3">
      <c r="U12" s="14">
        <v>20</v>
      </c>
      <c r="V12" s="14">
        <v>233</v>
      </c>
      <c r="AZ12" s="14">
        <v>160</v>
      </c>
    </row>
    <row r="13" spans="2:56" x14ac:dyDescent="0.3">
      <c r="U13" s="14">
        <v>24</v>
      </c>
      <c r="V13" s="14">
        <v>300</v>
      </c>
      <c r="AZ13" s="14">
        <v>154</v>
      </c>
    </row>
    <row r="14" spans="2:56" x14ac:dyDescent="0.3">
      <c r="U14" s="14">
        <v>29</v>
      </c>
      <c r="V14" s="14">
        <v>379</v>
      </c>
      <c r="AZ14" s="14">
        <v>120</v>
      </c>
    </row>
    <row r="15" spans="2:56" x14ac:dyDescent="0.3">
      <c r="AZ15" s="14">
        <v>-50</v>
      </c>
    </row>
    <row r="16" spans="2:56" x14ac:dyDescent="0.3">
      <c r="AZ16" s="14">
        <v>-100</v>
      </c>
    </row>
    <row r="17" spans="51:52" x14ac:dyDescent="0.3">
      <c r="AZ17" s="14">
        <v>-100</v>
      </c>
    </row>
    <row r="18" spans="51:52" x14ac:dyDescent="0.3">
      <c r="AZ18" s="14">
        <v>-102</v>
      </c>
    </row>
    <row r="19" spans="51:52" x14ac:dyDescent="0.3">
      <c r="AZ19" s="19">
        <v>782</v>
      </c>
    </row>
    <row r="20" spans="51:52" x14ac:dyDescent="0.3">
      <c r="AY20" t="s">
        <v>59</v>
      </c>
      <c r="AZ20">
        <f>MEDIAN(AZ8:AZ19)</f>
        <v>157</v>
      </c>
    </row>
    <row r="21" spans="51:52" x14ac:dyDescent="0.3">
      <c r="AY21" t="s">
        <v>60</v>
      </c>
      <c r="AZ21">
        <f>AVERAGE(AZ8:AZ19)</f>
        <v>132.75</v>
      </c>
    </row>
  </sheetData>
  <sortState xmlns:xlrd2="http://schemas.microsoft.com/office/spreadsheetml/2017/richdata2" ref="AZ8:AZ18">
    <sortCondition descending="1" ref="AZ8:AZ18"/>
  </sortState>
  <mergeCells count="4">
    <mergeCell ref="T5:X5"/>
    <mergeCell ref="AI3:AO5"/>
    <mergeCell ref="AT5:AY5"/>
    <mergeCell ref="AZ5:BD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charts</vt:lpstr>
      <vt:lpstr>PIVOT</vt:lpstr>
      <vt:lpstr>table data</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2026-10-01T17:25:50Z</dcterms:modified>
</cp:coreProperties>
</file>