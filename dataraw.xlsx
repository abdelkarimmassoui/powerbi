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pivotTables/pivotTable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8A64B5BA-F28C-4555-81E4-4CCF8C748163}" xr6:coauthVersionLast="47" xr6:coauthVersionMax="47" xr10:uidLastSave="{00000000-0000-0000-0000-000000000000}"/>
  <bookViews>
    <workbookView xWindow="-108" yWindow="-108" windowWidth="23256" windowHeight="12456" xr2:uid="{29389193-7256-4448-99EA-708D1049F25F}"/>
  </bookViews>
  <sheets>
    <sheet name="DASHBOARD" sheetId="15" r:id="rId1"/>
    <sheet name="PIVOT" sheetId="14" r:id="rId2"/>
    <sheet name="table data" sheetId="12" r:id="rId3"/>
    <sheet name="trading_raw_data2" sheetId="1" r:id="rId4"/>
  </sheets>
  <definedNames>
    <definedName name="ExternalData_1" localSheetId="2" hidden="1">'table data'!$A$1:$K$101</definedName>
    <definedName name="Slicer_Pair">#N/A</definedName>
  </definedNames>
  <calcPr calcId="191029"/>
  <pivotCaches>
    <pivotCache cacheId="4"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s>
</file>

<file path=xl/sharedStrings.xml><?xml version="1.0" encoding="utf-8"?>
<sst xmlns="http://schemas.openxmlformats.org/spreadsheetml/2006/main" count="929" uniqueCount="30">
  <si>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</si>
  <si>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</si>
  <si>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</si>
  <si>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</si>
  <si>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</si>
  <si>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</si>
  <si>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</si>
  <si>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</si>
  <si>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</si>
  <si>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</si>
  <si>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</si>
  <si>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</si>
  <si>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</si>
  <si>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</si>
  <si>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</si>
  <si>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</si>
  <si>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</si>
  <si>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</si>
  <si>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</si>
  <si>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</si>
  <si>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</si>
  <si>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GOOD</t>
  </si>
  <si>
    <t>REVIEW</t>
  </si>
  <si>
    <t>Sum of Profit</t>
  </si>
  <si>
    <t>Count of TradeID</t>
  </si>
  <si>
    <t>Average of Profit per R</t>
  </si>
  <si>
    <t>KPIS</t>
  </si>
  <si>
    <t>TOTAL</t>
  </si>
  <si>
    <t>AVG</t>
  </si>
  <si>
    <t>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</si>
</sst>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6" formatCode="&quot;$&quot;#,##0.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6"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6" fontId="0" fillId="35" borderId="0" xfId="0" applyNumberForma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7">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6" formatCode="&quot;$&quot;#,##0.00"/>
    </dxf>
    <dxf>
      <numFmt numFmtId="0" formatCode="General"/>
    </dxf>
    <dxf>
      <numFmt numFmtId="169" formatCode="_(&quot;$&quot;* #,##0_);_(&quot;$&quot;* \(#,##0\);_(&quot;$&quot;* &quot;-&quot;??_);_(@_)"/>
    </dxf>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4.9989318521683403E-2"/>
            </patternFill>
          </fill>
        </dxf>
        <dxf>
          <fill>
            <patternFill>
              <bgColor theme="0" tint="-0.14996795556505021"/>
            </patternFill>
          </fill>
        </dxf>
        <dxf>
          <fill>
            <patternFill>
              <bgColor theme="0" tint="-0.49998474074526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0"/>
            <x14:slicerStyleElement type="selectedItemWithData" dxfId="2"/>
            <x14:slicerStyleElement type="selectedItemWithNoData" dxfId="1"/>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160020</xdr:colOff>
      <xdr:row>25</xdr:row>
      <xdr:rowOff>114300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477500" cy="4686300"/>
        </a:xfrm>
        <a:prstGeom prst="round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16</xdr:col>
      <xdr:colOff>99060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869442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468630</xdr:colOff>
      <xdr:row>1</xdr:row>
      <xdr:rowOff>41910</xdr:rowOff>
    </xdr:from>
    <xdr:to>
      <xdr:col>13</xdr:col>
      <xdr:colOff>179070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290703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t>100</a:t>
          </a:fld>
          <a:endParaRPr lang="en-US" sz="3200" b="1">
            <a:solidFill>
              <a:schemeClr val="bg1">
                <a:lumMod val="65000"/>
              </a:schemeClr>
            </a:solidFill>
          </a:endParaRPr>
        </a:p>
      </xdr:txBody>
    </xdr:sp>
    <xdr:clientData/>
  </xdr:twoCellAnchor>
  <xdr:twoCellAnchor>
    <xdr:from>
      <xdr:col>6</xdr:col>
      <xdr:colOff>510540</xdr:colOff>
      <xdr:row>5</xdr:row>
      <xdr:rowOff>99060</xdr:rowOff>
    </xdr:from>
    <xdr:to>
      <xdr:col>11</xdr:col>
      <xdr:colOff>129540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1681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443865</xdr:colOff>
      <xdr:row>5</xdr:row>
      <xdr:rowOff>152400</xdr:rowOff>
    </xdr:from>
    <xdr:to>
      <xdr:col>10</xdr:col>
      <xdr:colOff>196215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47110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7</xdr:col>
      <xdr:colOff>267653</xdr:colOff>
      <xdr:row>7</xdr:row>
      <xdr:rowOff>45720</xdr:rowOff>
    </xdr:from>
    <xdr:to>
      <xdr:col>10</xdr:col>
      <xdr:colOff>372428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5348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11</xdr:col>
      <xdr:colOff>472440</xdr:colOff>
      <xdr:row>5</xdr:row>
      <xdr:rowOff>99060</xdr:rowOff>
    </xdr:from>
    <xdr:to>
      <xdr:col>16</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1780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405765</xdr:colOff>
      <xdr:row>5</xdr:row>
      <xdr:rowOff>152400</xdr:rowOff>
    </xdr:from>
    <xdr:to>
      <xdr:col>15</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77209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12</xdr:col>
      <xdr:colOff>229553</xdr:colOff>
      <xdr:row>7</xdr:row>
      <xdr:rowOff>45720</xdr:rowOff>
    </xdr:from>
    <xdr:to>
      <xdr:col>15</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75447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5</xdr:row>
      <xdr:rowOff>68580</xdr:rowOff>
    </xdr:from>
    <xdr:to>
      <xdr:col>1</xdr:col>
      <xdr:colOff>495300</xdr:colOff>
      <xdr:row>19</xdr:row>
      <xdr:rowOff>89535</xdr:rowOff>
    </xdr:to>
    <mc:AlternateContent xmlns:mc="http://schemas.openxmlformats.org/markup-compatibility/2006">
      <mc:Choice xmlns:a14="http://schemas.microsoft.com/office/drawing/2010/main"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dr:sp macro="" textlink="">
          <xdr:nvSpPr>
            <xdr:cNvPr id="0" name=""/>
            <xdr:cNvSpPr>
              <a:spLocks noTextEdit="1"/>
            </xdr:cNvSpPr>
          </xdr:nvSpPr>
          <xdr:spPr>
            <a:xfrm>
              <a:off x="0" y="982980"/>
              <a:ext cx="11049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281940</xdr:colOff>
      <xdr:row>2</xdr:row>
      <xdr:rowOff>22860</xdr:rowOff>
    </xdr:from>
    <xdr:to>
      <xdr:col>8</xdr:col>
      <xdr:colOff>281940</xdr:colOff>
      <xdr:row>16</xdr:row>
      <xdr:rowOff>43815</xdr:rowOff>
    </xdr:to>
    <mc:AlternateContent xmlns:mc="http://schemas.openxmlformats.org/markup-compatibility/2006">
      <mc:Choice xmlns:a14="http://schemas.microsoft.com/office/drawing/2010/main" Requires="a14">
        <xdr:graphicFrame macro="">
          <xdr:nvGraphicFramePr>
            <xdr:cNvPr id="2" name="Pair">
              <a:extLst>
                <a:ext uri="{FF2B5EF4-FFF2-40B4-BE49-F238E27FC236}">
                  <a16:creationId xmlns:a16="http://schemas.microsoft.com/office/drawing/2014/main" id="{B2EEB35D-0767-05AA-9A75-8853D6EC2152}"/>
                </a:ext>
              </a:extLst>
            </xdr:cNvPr>
            <xdr:cNvGraphicFramePr/>
          </xdr:nvGraphicFramePr>
          <xdr:xfrm>
            <a:off x="0" y="0"/>
            <a:ext cx="0" cy="0"/>
          </xdr:xfrm>
          <a:graphic>
            <a:graphicData uri="http://schemas.microsoft.com/office/drawing/2010/slicer">
              <sle:slicer xmlns:sle="http://schemas.microsoft.com/office/drawing/2010/slicer" name="Pair"/>
            </a:graphicData>
          </a:graphic>
        </xdr:graphicFrame>
      </mc:Choice>
      <mc:Fallback>
        <xdr:sp macro="" textlink="">
          <xdr:nvSpPr>
            <xdr:cNvPr id="0" name=""/>
            <xdr:cNvSpPr>
              <a:spLocks noTextEdit="1"/>
            </xdr:cNvSpPr>
          </xdr:nvSpPr>
          <xdr:spPr>
            <a:xfrm>
              <a:off x="4084320" y="38862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6"/>
    <n v="10005"/>
    <x v="0"/>
    <s v="New York"/>
    <s v="Buy"/>
    <n v="600"/>
    <n v="3"/>
    <s v="GOOD"/>
    <n v="200"/>
    <s v="Win"/>
    <d v="2026-05-22T00:00:00"/>
  </r>
  <r>
    <n v="80"/>
    <n v="10006"/>
    <x v="0"/>
    <s v="New York"/>
    <s v="Sell"/>
    <n v="600"/>
    <n v="3"/>
    <s v="GOOD"/>
    <n v="200"/>
    <s v="Win"/>
    <d v="2026-05-29T00:00:00"/>
  </r>
  <r>
    <n v="16"/>
    <n v="10006"/>
    <x v="0"/>
    <s v="London"/>
    <s v="Sell"/>
    <n v="500"/>
    <n v="2"/>
    <s v="GOOD"/>
    <n v="250"/>
    <s v="Win"/>
    <d v="2026-05-26T00:00:00"/>
  </r>
  <r>
    <n v="78"/>
    <n v="10001"/>
    <x v="0"/>
    <s v="London"/>
    <s v="Sell"/>
    <n v="500"/>
    <n v="2"/>
    <s v="GOOD"/>
    <n v="250"/>
    <s v="Win"/>
    <d v="2026-06-09T00:00:00"/>
  </r>
  <r>
    <n v="35"/>
    <n v="10005"/>
    <x v="0"/>
    <s v="London"/>
    <s v="Buy"/>
    <n v="375"/>
    <n v="1.5"/>
    <s v="REVIEW"/>
    <n v="250"/>
    <s v="Win"/>
    <d v="2026-01-19T00:00:00"/>
  </r>
  <r>
    <n v="45"/>
    <n v="10003"/>
    <x v="0"/>
    <s v="London"/>
    <s v="Buy"/>
    <n v="375"/>
    <n v="1.5"/>
    <s v="REVIEW"/>
    <n v="250"/>
    <s v="Win"/>
    <d v="2026-02-02T00:00:00"/>
  </r>
  <r>
    <n v="43"/>
    <n v="10003"/>
    <x v="0"/>
    <s v="London"/>
    <s v="Sell"/>
    <n v="200"/>
    <n v="2"/>
    <s v="GOOD"/>
    <n v="100"/>
    <s v="Win"/>
    <d v="2026-03-10T00:00:00"/>
  </r>
  <r>
    <n v="77"/>
    <n v="10006"/>
    <x v="0"/>
    <s v="London"/>
    <s v="Sell"/>
    <n v="200"/>
    <n v="2"/>
    <s v="GOOD"/>
    <n v="100"/>
    <s v="Win"/>
    <d v="2026-06-25T00:00:00"/>
  </r>
  <r>
    <n v="99"/>
    <n v="10006"/>
    <x v="0"/>
    <s v="London"/>
    <s v="Sell"/>
    <n v="125"/>
    <n v="2.5"/>
    <s v="GOOD"/>
    <n v="50"/>
    <s v="Win"/>
    <d v="2026-03-20T00:00:00"/>
  </r>
  <r>
    <n v="97"/>
    <n v="10006"/>
    <x v="0"/>
    <s v="London"/>
    <s v="Buy"/>
    <n v="100"/>
    <n v="1"/>
    <s v="REVIEW"/>
    <n v="100"/>
    <s v="Win"/>
    <d v="2026-05-30T00:00:00"/>
  </r>
  <r>
    <n v="93"/>
    <n v="10004"/>
    <x v="0"/>
    <s v="New York"/>
    <s v="Sell"/>
    <n v="75"/>
    <n v="1.5"/>
    <s v="REVIEW"/>
    <n v="50"/>
    <s v="Win"/>
    <d v="2026-01-31T00:00:00"/>
  </r>
  <r>
    <n v="1"/>
    <n v="10002"/>
    <x v="0"/>
    <s v="London"/>
    <s v="Sell"/>
    <n v="50"/>
    <n v="1"/>
    <s v="REVIEW"/>
    <n v="50"/>
    <s v="Win"/>
    <d v="2026-06-17T00:00:00"/>
  </r>
  <r>
    <n v="38"/>
    <n v="10005"/>
    <x v="0"/>
    <s v="London"/>
    <s v="Sell"/>
    <n v="-25"/>
    <n v="-0.5"/>
    <s v="REVIEW"/>
    <n v="50"/>
    <s v="Loss"/>
    <d v="2026-03-26T00:00:00"/>
  </r>
  <r>
    <n v="30"/>
    <n v="10001"/>
    <x v="0"/>
    <s v="London"/>
    <s v="Buy"/>
    <n v="-50"/>
    <n v="-0.5"/>
    <s v="REVIEW"/>
    <n v="100"/>
    <s v="Loss"/>
    <d v="2026-05-25T00:00:00"/>
  </r>
  <r>
    <n v="46"/>
    <n v="10001"/>
    <x v="0"/>
    <s v="New York"/>
    <s v="Sell"/>
    <n v="-50"/>
    <n v="-0.5"/>
    <s v="REVIEW"/>
    <n v="100"/>
    <s v="Loss"/>
    <d v="2026-02-06T00:00:00"/>
  </r>
  <r>
    <n v="47"/>
    <n v="10005"/>
    <x v="0"/>
    <s v="New York"/>
    <s v="Sell"/>
    <n v="-50"/>
    <n v="-0.5"/>
    <s v="REVIEW"/>
    <n v="100"/>
    <s v="Loss"/>
    <d v="2026-06-24T00:00:00"/>
  </r>
  <r>
    <n v="52"/>
    <n v="10005"/>
    <x v="0"/>
    <s v="New York"/>
    <s v="Buy"/>
    <n v="-50"/>
    <n v="-1"/>
    <s v="REVIEW"/>
    <n v="50"/>
    <s v="Loss"/>
    <d v="2026-01-12T00:00:00"/>
  </r>
  <r>
    <n v="8"/>
    <n v="10004"/>
    <x v="0"/>
    <s v="New York"/>
    <s v="Sell"/>
    <n v="-100"/>
    <n v="-1"/>
    <s v="REVIEW"/>
    <n v="100"/>
    <s v="Loss"/>
    <d v="2026-03-05T00:00:00"/>
  </r>
  <r>
    <n v="70"/>
    <n v="10004"/>
    <x v="0"/>
    <s v="New York"/>
    <s v="Sell"/>
    <n v="-100"/>
    <n v="-1"/>
    <s v="REVIEW"/>
    <n v="100"/>
    <s v="Loss"/>
    <d v="2026-05-07T00:00:00"/>
  </r>
  <r>
    <n v="86"/>
    <n v="10002"/>
    <x v="0"/>
    <s v="London"/>
    <s v="Buy"/>
    <n v="-100"/>
    <n v="-1"/>
    <s v="REVIEW"/>
    <n v="100"/>
    <s v="Loss"/>
    <d v="2026-05-27T00:00:00"/>
  </r>
  <r>
    <n v="61"/>
    <n v="10005"/>
    <x v="0"/>
    <s v="London"/>
    <s v="Sell"/>
    <n v="-125"/>
    <n v="-0.5"/>
    <s v="REVIEW"/>
    <n v="250"/>
    <s v="Loss"/>
    <d v="2026-01-11T00:00:00"/>
  </r>
  <r>
    <n v="34"/>
    <n v="10005"/>
    <x v="0"/>
    <s v="London"/>
    <s v="Sell"/>
    <n v="-150"/>
    <n v="-1.5"/>
    <s v="REVIEW"/>
    <n v="100"/>
    <s v="Loss"/>
    <d v="2026-03-26T00:00:00"/>
  </r>
  <r>
    <n v="13"/>
    <n v="10006"/>
    <x v="1"/>
    <s v="London"/>
    <s v="Sell"/>
    <n v="750"/>
    <n v="3"/>
    <s v="GOOD"/>
    <n v="250"/>
    <s v="Win"/>
    <d v="2026-03-13T00:00:00"/>
  </r>
  <r>
    <n v="98"/>
    <n v="10001"/>
    <x v="1"/>
    <s v="London"/>
    <s v="Buy"/>
    <n v="750"/>
    <n v="3"/>
    <s v="GOOD"/>
    <n v="250"/>
    <s v="Win"/>
    <d v="2026-03-07T00:00:00"/>
  </r>
  <r>
    <n v="68"/>
    <n v="10004"/>
    <x v="1"/>
    <s v="London"/>
    <s v="Sell"/>
    <n v="625"/>
    <n v="2.5"/>
    <s v="GOOD"/>
    <n v="250"/>
    <s v="Win"/>
    <d v="2026-07-04T00:00:00"/>
  </r>
  <r>
    <n v="85"/>
    <n v="10003"/>
    <x v="1"/>
    <s v="New York"/>
    <s v="Sell"/>
    <n v="600"/>
    <n v="3"/>
    <s v="GOOD"/>
    <n v="200"/>
    <s v="Win"/>
    <d v="2026-05-09T00:00:00"/>
  </r>
  <r>
    <n v="15"/>
    <n v="10004"/>
    <x v="1"/>
    <s v="New York"/>
    <s v="Buy"/>
    <n v="500"/>
    <n v="2.5"/>
    <s v="GOOD"/>
    <n v="200"/>
    <s v="Win"/>
    <d v="2026-06-14T00:00:00"/>
  </r>
  <r>
    <n v="37"/>
    <n v="10003"/>
    <x v="1"/>
    <s v="New York"/>
    <s v="Buy"/>
    <n v="500"/>
    <n v="2"/>
    <s v="GOOD"/>
    <n v="250"/>
    <s v="Win"/>
    <d v="2026-03-12T00:00:00"/>
  </r>
  <r>
    <n v="71"/>
    <n v="10004"/>
    <x v="1"/>
    <s v="New York"/>
    <s v="Sell"/>
    <n v="500"/>
    <n v="2"/>
    <s v="GOOD"/>
    <n v="250"/>
    <s v="Win"/>
    <d v="2026-05-09T00:00:00"/>
  </r>
  <r>
    <n v="88"/>
    <n v="10004"/>
    <x v="1"/>
    <s v="New York"/>
    <s v="Sell"/>
    <n v="500"/>
    <n v="2"/>
    <s v="GOOD"/>
    <n v="250"/>
    <s v="Win"/>
    <d v="2026-07-01T00:00:00"/>
  </r>
  <r>
    <n v="76"/>
    <n v="10005"/>
    <x v="1"/>
    <s v="London"/>
    <s v="Buy"/>
    <n v="375"/>
    <n v="1.5"/>
    <s v="REVIEW"/>
    <n v="250"/>
    <s v="Win"/>
    <d v="2026-01-12T00:00:00"/>
  </r>
  <r>
    <n v="92"/>
    <n v="10001"/>
    <x v="1"/>
    <s v="New York"/>
    <s v="Buy"/>
    <n v="375"/>
    <n v="1.5"/>
    <s v="REVIEW"/>
    <n v="250"/>
    <s v="Win"/>
    <d v="2026-01-08T00:00:00"/>
  </r>
  <r>
    <n v="10"/>
    <n v="10004"/>
    <x v="1"/>
    <s v="London"/>
    <s v="Buy"/>
    <n v="300"/>
    <n v="3"/>
    <s v="GOOD"/>
    <n v="100"/>
    <s v="Win"/>
    <d v="2026-06-09T00:00:00"/>
  </r>
  <r>
    <n v="23"/>
    <n v="10003"/>
    <x v="1"/>
    <s v="London"/>
    <s v="Buy"/>
    <n v="300"/>
    <n v="3"/>
    <s v="GOOD"/>
    <n v="100"/>
    <s v="Win"/>
    <d v="2026-02-04T00:00:00"/>
  </r>
  <r>
    <n v="54"/>
    <n v="10006"/>
    <x v="1"/>
    <s v="New York"/>
    <s v="Buy"/>
    <n v="300"/>
    <n v="3"/>
    <s v="GOOD"/>
    <n v="100"/>
    <s v="Win"/>
    <d v="2026-04-13T00:00:00"/>
  </r>
  <r>
    <n v="12"/>
    <n v="10006"/>
    <x v="1"/>
    <s v="New York"/>
    <s v="Buy"/>
    <n v="250"/>
    <n v="2.5"/>
    <s v="GOOD"/>
    <n v="100"/>
    <s v="Win"/>
    <d v="2026-01-21T00:00:00"/>
  </r>
  <r>
    <n v="63"/>
    <n v="10001"/>
    <x v="1"/>
    <s v="London"/>
    <s v="Sell"/>
    <n v="250"/>
    <n v="1"/>
    <s v="REVIEW"/>
    <n v="250"/>
    <s v="Win"/>
    <d v="2026-04-23T00:00:00"/>
  </r>
  <r>
    <n v="95"/>
    <n v="10002"/>
    <x v="1"/>
    <s v="New York"/>
    <s v="Buy"/>
    <n v="250"/>
    <n v="2.5"/>
    <s v="GOOD"/>
    <n v="100"/>
    <s v="Win"/>
    <d v="2026-02-12T00:00:00"/>
  </r>
  <r>
    <n v="84"/>
    <n v="10003"/>
    <x v="1"/>
    <s v="New York"/>
    <s v="Sell"/>
    <n v="200"/>
    <n v="2"/>
    <s v="GOOD"/>
    <n v="100"/>
    <s v="Win"/>
    <d v="2026-04-30T00:00:00"/>
  </r>
  <r>
    <n v="33"/>
    <n v="10001"/>
    <x v="1"/>
    <s v="New York"/>
    <s v="Buy"/>
    <n v="150"/>
    <n v="3"/>
    <s v="GOOD"/>
    <n v="50"/>
    <s v="Win"/>
    <d v="2026-02-13T00:00:00"/>
  </r>
  <r>
    <n v="100"/>
    <n v="10004"/>
    <x v="1"/>
    <s v="New York"/>
    <s v="Buy"/>
    <n v="150"/>
    <n v="1.5"/>
    <s v="REVIEW"/>
    <n v="100"/>
    <s v="Win"/>
    <d v="2026-06-29T00:00:00"/>
  </r>
  <r>
    <n v="3"/>
    <n v="10004"/>
    <x v="1"/>
    <s v="New York"/>
    <s v="Buy"/>
    <n v="100"/>
    <n v="1"/>
    <s v="REVIEW"/>
    <n v="100"/>
    <s v="Win"/>
    <d v="2026-05-28T00:00:00"/>
  </r>
  <r>
    <n v="7"/>
    <n v="10006"/>
    <x v="1"/>
    <s v="London"/>
    <s v="Buy"/>
    <n v="100"/>
    <n v="2"/>
    <s v="GOOD"/>
    <n v="50"/>
    <s v="Win"/>
    <d v="2026-06-01T00:00:00"/>
  </r>
  <r>
    <n v="20"/>
    <n v="10006"/>
    <x v="1"/>
    <s v="London"/>
    <s v="Buy"/>
    <n v="100"/>
    <n v="1"/>
    <s v="REVIEW"/>
    <n v="100"/>
    <s v="Win"/>
    <d v="2026-01-19T00:00:00"/>
  </r>
  <r>
    <n v="62"/>
    <n v="10004"/>
    <x v="1"/>
    <s v="New York"/>
    <s v="Sell"/>
    <n v="50"/>
    <n v="1"/>
    <s v="REVIEW"/>
    <n v="50"/>
    <s v="Win"/>
    <d v="2026-04-21T00:00:00"/>
  </r>
  <r>
    <n v="24"/>
    <n v="10006"/>
    <x v="1"/>
    <s v="London"/>
    <s v="Buy"/>
    <n v="-25"/>
    <n v="-0.5"/>
    <s v="REVIEW"/>
    <n v="50"/>
    <s v="Loss"/>
    <d v="2026-06-04T00:00:00"/>
  </r>
  <r>
    <n v="14"/>
    <n v="10001"/>
    <x v="1"/>
    <s v="London"/>
    <s v="Sell"/>
    <n v="-50"/>
    <n v="-0.5"/>
    <s v="REVIEW"/>
    <n v="100"/>
    <s v="Loss"/>
    <d v="2026-04-07T00:00:00"/>
  </r>
  <r>
    <n v="49"/>
    <n v="10001"/>
    <x v="1"/>
    <s v="London"/>
    <s v="Sell"/>
    <n v="-50"/>
    <n v="-0.5"/>
    <s v="REVIEW"/>
    <n v="100"/>
    <s v="Loss"/>
    <d v="2026-03-14T00:00:00"/>
  </r>
  <r>
    <n v="79"/>
    <n v="10001"/>
    <x v="1"/>
    <s v="London"/>
    <s v="Buy"/>
    <n v="-50"/>
    <n v="-1"/>
    <s v="REVIEW"/>
    <n v="50"/>
    <s v="Loss"/>
    <d v="2026-04-16T00:00:00"/>
  </r>
  <r>
    <n v="40"/>
    <n v="10005"/>
    <x v="1"/>
    <s v="New York"/>
    <s v="Sell"/>
    <n v="-75"/>
    <n v="-1.5"/>
    <s v="REVIEW"/>
    <n v="50"/>
    <s v="Loss"/>
    <d v="2026-03-18T00:00:00"/>
  </r>
  <r>
    <n v="39"/>
    <n v="10003"/>
    <x v="1"/>
    <s v="New York"/>
    <s v="Buy"/>
    <n v="-100"/>
    <n v="-0.5"/>
    <s v="REVIEW"/>
    <n v="200"/>
    <s v="Loss"/>
    <d v="2026-05-22T00:00:00"/>
  </r>
  <r>
    <n v="29"/>
    <n v="10002"/>
    <x v="1"/>
    <s v="New York"/>
    <s v="Sell"/>
    <n v="-125"/>
    <n v="-0.5"/>
    <s v="REVIEW"/>
    <n v="250"/>
    <s v="Loss"/>
    <d v="2026-04-23T00:00:00"/>
  </r>
  <r>
    <n v="69"/>
    <n v="10005"/>
    <x v="1"/>
    <s v="New York"/>
    <s v="Sell"/>
    <n v="-125"/>
    <n v="-0.5"/>
    <s v="REVIEW"/>
    <n v="250"/>
    <s v="Loss"/>
    <d v="2026-01-20T00:00:00"/>
  </r>
  <r>
    <n v="22"/>
    <n v="10006"/>
    <x v="1"/>
    <s v="New York"/>
    <s v="Sell"/>
    <n v="-250"/>
    <n v="-1"/>
    <s v="REVIEW"/>
    <n v="250"/>
    <s v="Loss"/>
    <d v="2026-05-23T00:00:00"/>
  </r>
  <r>
    <n v="36"/>
    <n v="10004"/>
    <x v="1"/>
    <s v="London"/>
    <s v="Buy"/>
    <n v="-300"/>
    <n v="-1.5"/>
    <s v="REVIEW"/>
    <n v="200"/>
    <s v="Loss"/>
    <d v="2026-02-04T00:00:00"/>
  </r>
  <r>
    <n v="32"/>
    <n v="10003"/>
    <x v="2"/>
    <s v="New York"/>
    <s v="Sell"/>
    <n v="750"/>
    <n v="3"/>
    <s v="GOOD"/>
    <n v="250"/>
    <s v="Win"/>
    <d v="2026-01-05T00:00:00"/>
  </r>
  <r>
    <n v="73"/>
    <n v="10002"/>
    <x v="2"/>
    <s v="London"/>
    <s v="Sell"/>
    <n v="500"/>
    <n v="2.5"/>
    <s v="GOOD"/>
    <n v="200"/>
    <s v="Win"/>
    <d v="2026-06-18T00:00:00"/>
  </r>
  <r>
    <n v="74"/>
    <n v="10004"/>
    <x v="2"/>
    <s v="New York"/>
    <s v="Sell"/>
    <n v="500"/>
    <n v="2.5"/>
    <s v="GOOD"/>
    <n v="200"/>
    <s v="Win"/>
    <d v="2026-02-28T00:00:00"/>
  </r>
  <r>
    <n v="87"/>
    <n v="10001"/>
    <x v="2"/>
    <s v="New York"/>
    <s v="Sell"/>
    <n v="375"/>
    <n v="1.5"/>
    <s v="REVIEW"/>
    <n v="250"/>
    <s v="Win"/>
    <d v="2026-06-30T00:00:00"/>
  </r>
  <r>
    <n v="65"/>
    <n v="10004"/>
    <x v="2"/>
    <s v="London"/>
    <s v="Sell"/>
    <n v="300"/>
    <n v="1.5"/>
    <s v="REVIEW"/>
    <n v="200"/>
    <s v="Win"/>
    <d v="2026-05-25T00:00:00"/>
  </r>
  <r>
    <n v="26"/>
    <n v="10004"/>
    <x v="2"/>
    <s v="London"/>
    <s v="Sell"/>
    <n v="250"/>
    <n v="1"/>
    <s v="REVIEW"/>
    <n v="250"/>
    <s v="Win"/>
    <d v="2026-05-31T00:00:00"/>
  </r>
  <r>
    <n v="55"/>
    <n v="10005"/>
    <x v="2"/>
    <s v="London"/>
    <s v="Sell"/>
    <n v="200"/>
    <n v="1"/>
    <s v="REVIEW"/>
    <n v="200"/>
    <s v="Win"/>
    <d v="2026-04-08T00:00:00"/>
  </r>
  <r>
    <n v="59"/>
    <n v="10006"/>
    <x v="2"/>
    <s v="London"/>
    <s v="Sell"/>
    <n v="200"/>
    <n v="1"/>
    <s v="REVIEW"/>
    <n v="200"/>
    <s v="Win"/>
    <d v="2026-04-28T00:00:00"/>
  </r>
  <r>
    <n v="66"/>
    <n v="10004"/>
    <x v="2"/>
    <s v="London"/>
    <s v="Sell"/>
    <n v="200"/>
    <n v="2"/>
    <s v="GOOD"/>
    <n v="100"/>
    <s v="Win"/>
    <d v="2026-05-18T00:00:00"/>
  </r>
  <r>
    <n v="2"/>
    <n v="10001"/>
    <x v="2"/>
    <s v="London"/>
    <s v="Buy"/>
    <n v="150"/>
    <n v="3"/>
    <s v="GOOD"/>
    <n v="50"/>
    <s v="Win"/>
    <d v="2026-06-05T00:00:00"/>
  </r>
  <r>
    <n v="94"/>
    <n v="10004"/>
    <x v="2"/>
    <s v="London"/>
    <s v="Buy"/>
    <n v="150"/>
    <n v="3"/>
    <s v="GOOD"/>
    <n v="50"/>
    <s v="Win"/>
    <d v="2026-03-10T00:00:00"/>
  </r>
  <r>
    <n v="57"/>
    <n v="10005"/>
    <x v="2"/>
    <s v="New York"/>
    <s v="Buy"/>
    <n v="125"/>
    <n v="2.5"/>
    <s v="GOOD"/>
    <n v="50"/>
    <s v="Win"/>
    <d v="2026-02-23T00:00:00"/>
  </r>
  <r>
    <n v="4"/>
    <n v="10002"/>
    <x v="2"/>
    <s v="New York"/>
    <s v="Sell"/>
    <n v="100"/>
    <n v="2"/>
    <s v="GOOD"/>
    <n v="50"/>
    <s v="Win"/>
    <d v="2026-07-02T00:00:00"/>
  </r>
  <r>
    <n v="27"/>
    <n v="10006"/>
    <x v="2"/>
    <s v="New York"/>
    <s v="Sell"/>
    <n v="50"/>
    <n v="1"/>
    <s v="REVIEW"/>
    <n v="50"/>
    <s v="Win"/>
    <d v="2026-04-05T00:00:00"/>
  </r>
  <r>
    <n v="72"/>
    <n v="10004"/>
    <x v="2"/>
    <s v="London"/>
    <s v="Buy"/>
    <n v="50"/>
    <n v="1"/>
    <s v="REVIEW"/>
    <n v="50"/>
    <s v="Win"/>
    <d v="2026-02-16T00:00:00"/>
  </r>
  <r>
    <n v="75"/>
    <n v="10003"/>
    <x v="2"/>
    <s v="London"/>
    <s v="Buy"/>
    <n v="50"/>
    <n v="1"/>
    <s v="REVIEW"/>
    <n v="50"/>
    <s v="Win"/>
    <d v="2026-01-25T00:00:00"/>
  </r>
  <r>
    <n v="17"/>
    <n v="10005"/>
    <x v="2"/>
    <s v="London"/>
    <s v="Sell"/>
    <n v="-75"/>
    <n v="-1.5"/>
    <s v="REVIEW"/>
    <n v="50"/>
    <s v="Loss"/>
    <d v="2026-02-14T00:00:00"/>
  </r>
  <r>
    <n v="53"/>
    <n v="10004"/>
    <x v="2"/>
    <s v="New York"/>
    <s v="Sell"/>
    <n v="-75"/>
    <n v="-1.5"/>
    <s v="REVIEW"/>
    <n v="50"/>
    <s v="Loss"/>
    <d v="2026-02-01T00:00:00"/>
  </r>
  <r>
    <n v="21"/>
    <n v="10005"/>
    <x v="2"/>
    <s v="London"/>
    <s v="Sell"/>
    <n v="-100"/>
    <n v="-1"/>
    <s v="REVIEW"/>
    <n v="100"/>
    <s v="Loss"/>
    <d v="2026-02-06T00:00:00"/>
  </r>
  <r>
    <n v="48"/>
    <n v="10006"/>
    <x v="2"/>
    <s v="London"/>
    <s v="Buy"/>
    <n v="-100"/>
    <n v="-1"/>
    <s v="REVIEW"/>
    <n v="100"/>
    <s v="Loss"/>
    <d v="2026-02-19T00:00:00"/>
  </r>
  <r>
    <n v="83"/>
    <n v="10002"/>
    <x v="2"/>
    <s v="New York"/>
    <s v="Sell"/>
    <n v="-100"/>
    <n v="-0.5"/>
    <s v="REVIEW"/>
    <n v="200"/>
    <s v="Loss"/>
    <d v="2026-05-04T00:00:00"/>
  </r>
  <r>
    <n v="5"/>
    <n v="10003"/>
    <x v="2"/>
    <s v="London"/>
    <s v="Sell"/>
    <n v="-125"/>
    <n v="-0.5"/>
    <s v="REVIEW"/>
    <n v="250"/>
    <s v="Loss"/>
    <d v="2026-01-28T00:00:00"/>
  </r>
  <r>
    <n v="31"/>
    <n v="10004"/>
    <x v="2"/>
    <s v="New York"/>
    <s v="Buy"/>
    <n v="-125"/>
    <n v="-0.5"/>
    <s v="REVIEW"/>
    <n v="250"/>
    <s v="Loss"/>
    <d v="2026-04-19T00:00:00"/>
  </r>
  <r>
    <n v="96"/>
    <n v="10003"/>
    <x v="2"/>
    <s v="New York"/>
    <s v="Sell"/>
    <n v="-200"/>
    <n v="-1"/>
    <s v="REVIEW"/>
    <n v="200"/>
    <s v="Loss"/>
    <d v="2026-05-18T00:00:00"/>
  </r>
  <r>
    <n v="64"/>
    <n v="10005"/>
    <x v="2"/>
    <s v="New York"/>
    <s v="Sell"/>
    <n v="-375"/>
    <n v="-1.5"/>
    <s v="REVIEW"/>
    <n v="250"/>
    <s v="Loss"/>
    <d v="2026-02-08T00:00:00"/>
  </r>
  <r>
    <n v="81"/>
    <n v="10004"/>
    <x v="2"/>
    <s v="New York"/>
    <s v="Buy"/>
    <n v="-375"/>
    <n v="-1.5"/>
    <s v="REVIEW"/>
    <n v="250"/>
    <s v="Loss"/>
    <d v="2026-01-08T00:00:00"/>
  </r>
  <r>
    <n v="82"/>
    <n v="10005"/>
    <x v="2"/>
    <s v="London"/>
    <s v="Sell"/>
    <n v="-375"/>
    <n v="-1.5"/>
    <s v="REVIEW"/>
    <n v="250"/>
    <s v="Loss"/>
    <d v="2026-02-13T00:00:00"/>
  </r>
  <r>
    <n v="90"/>
    <n v="10002"/>
    <x v="3"/>
    <s v="London"/>
    <s v="Buy"/>
    <n v="500"/>
    <n v="2.5"/>
    <s v="GOOD"/>
    <n v="200"/>
    <s v="Win"/>
    <d v="2026-02-23T00:00:00"/>
  </r>
  <r>
    <n v="50"/>
    <n v="10002"/>
    <x v="3"/>
    <s v="New York"/>
    <s v="Buy"/>
    <n v="375"/>
    <n v="1.5"/>
    <s v="REVIEW"/>
    <n v="250"/>
    <s v="Win"/>
    <d v="2026-05-02T00:00:00"/>
  </r>
  <r>
    <n v="91"/>
    <n v="10003"/>
    <x v="3"/>
    <s v="London"/>
    <s v="Buy"/>
    <n v="300"/>
    <n v="1.5"/>
    <s v="REVIEW"/>
    <n v="200"/>
    <s v="Win"/>
    <d v="2026-06-04T00:00:00"/>
  </r>
  <r>
    <n v="28"/>
    <n v="10002"/>
    <x v="3"/>
    <s v="London"/>
    <s v="Buy"/>
    <n v="250"/>
    <n v="2.5"/>
    <s v="GOOD"/>
    <n v="100"/>
    <s v="Win"/>
    <d v="2026-04-18T00:00:00"/>
  </r>
  <r>
    <n v="67"/>
    <n v="10002"/>
    <x v="3"/>
    <s v="New York"/>
    <s v="Buy"/>
    <n v="250"/>
    <n v="2.5"/>
    <s v="GOOD"/>
    <n v="100"/>
    <s v="Win"/>
    <d v="2026-03-15T00:00:00"/>
  </r>
  <r>
    <n v="60"/>
    <n v="10006"/>
    <x v="3"/>
    <s v="London"/>
    <s v="Buy"/>
    <n v="150"/>
    <n v="1.5"/>
    <s v="REVIEW"/>
    <n v="100"/>
    <s v="Win"/>
    <d v="2026-05-16T00:00:00"/>
  </r>
  <r>
    <n v="41"/>
    <n v="10003"/>
    <x v="3"/>
    <s v="London"/>
    <s v="Buy"/>
    <n v="100"/>
    <n v="1"/>
    <s v="REVIEW"/>
    <n v="100"/>
    <s v="Win"/>
    <d v="2026-06-24T00:00:00"/>
  </r>
  <r>
    <n v="89"/>
    <n v="10003"/>
    <x v="3"/>
    <s v="New York"/>
    <s v="Sell"/>
    <n v="75"/>
    <n v="1.5"/>
    <s v="REVIEW"/>
    <n v="50"/>
    <s v="Win"/>
    <d v="2026-05-25T00:00:00"/>
  </r>
  <r>
    <n v="25"/>
    <n v="10003"/>
    <x v="3"/>
    <s v="London"/>
    <s v="Buy"/>
    <n v="-50"/>
    <n v="-0.5"/>
    <s v="REVIEW"/>
    <n v="100"/>
    <s v="Loss"/>
    <d v="2026-01-13T00:00:00"/>
  </r>
  <r>
    <n v="9"/>
    <n v="10006"/>
    <x v="3"/>
    <s v="London"/>
    <s v="Sell"/>
    <n v="-75"/>
    <n v="-1.5"/>
    <s v="REVIEW"/>
    <n v="50"/>
    <s v="Loss"/>
    <d v="2026-04-09T00:00:00"/>
  </r>
  <r>
    <n v="18"/>
    <n v="10003"/>
    <x v="3"/>
    <s v="London"/>
    <s v="Buy"/>
    <n v="-75"/>
    <n v="-1.5"/>
    <s v="REVIEW"/>
    <n v="50"/>
    <s v="Loss"/>
    <d v="2026-06-14T00:00:00"/>
  </r>
  <r>
    <n v="44"/>
    <n v="10005"/>
    <x v="3"/>
    <s v="London"/>
    <s v="Sell"/>
    <n v="-75"/>
    <n v="-1.5"/>
    <s v="REVIEW"/>
    <n v="50"/>
    <s v="Loss"/>
    <d v="2026-06-17T00:00:00"/>
  </r>
  <r>
    <n v="19"/>
    <n v="10001"/>
    <x v="3"/>
    <s v="New York"/>
    <s v="Buy"/>
    <n v="-100"/>
    <n v="-1"/>
    <s v="REVIEW"/>
    <n v="100"/>
    <s v="Loss"/>
    <d v="2026-06-07T00:00:00"/>
  </r>
  <r>
    <n v="56"/>
    <n v="10004"/>
    <x v="3"/>
    <s v="New York"/>
    <s v="Sell"/>
    <n v="-150"/>
    <n v="-1.5"/>
    <s v="REVIEW"/>
    <n v="100"/>
    <s v="Loss"/>
    <d v="2026-05-14T00:00:00"/>
  </r>
  <r>
    <n v="11"/>
    <n v="10001"/>
    <x v="3"/>
    <s v="London"/>
    <s v="Buy"/>
    <n v="-200"/>
    <n v="-1"/>
    <s v="REVIEW"/>
    <n v="200"/>
    <s v="Loss"/>
    <d v="2026-06-29T00:00:00"/>
  </r>
  <r>
    <n v="51"/>
    <n v="10003"/>
    <x v="3"/>
    <s v="London"/>
    <s v="Sell"/>
    <n v="-200"/>
    <n v="-1"/>
    <s v="REVIEW"/>
    <n v="200"/>
    <s v="Loss"/>
    <d v="2026-03-30T00:00:00"/>
  </r>
  <r>
    <n v="42"/>
    <n v="10002"/>
    <x v="3"/>
    <s v="London"/>
    <s v="Sell"/>
    <n v="-250"/>
    <n v="-1"/>
    <s v="REVIEW"/>
    <n v="250"/>
    <s v="Loss"/>
    <d v="2026-03-15T00:00:00"/>
  </r>
  <r>
    <n v="58"/>
    <n v="10005"/>
    <x v="3"/>
    <s v="London"/>
    <s v="Sell"/>
    <n v="-250"/>
    <n v="-1"/>
    <s v="REVIEW"/>
    <n v="250"/>
    <s v="Loss"/>
    <d v="2026-03-23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4"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35">
      <pivotArea collapsedLevelsAreSubtotals="1" fieldPosition="0">
        <references count="1">
          <reference field="4294967294" count="2">
            <x v="1"/>
            <x v="2"/>
          </reference>
        </references>
      </pivotArea>
    </format>
    <format dxfId="34">
      <pivotArea collapsedLevelsAreSubtotals="1" fieldPosition="0">
        <references count="1">
          <reference field="4294967294" count="1">
            <x v="1"/>
          </reference>
        </references>
      </pivotArea>
    </format>
    <format dxfId="33">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66FAED9-24BD-4304-90C1-045F62346022}"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s>
  <data>
    <tabular pivotCacheId="812573279">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xr10:uid="{ED8289A2-5A8D-42FF-9C59-78E48315B0CD}" cache="Slicer_Pair" caption="Pair"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14C3B-7AFE-48A8-A469-1DA670C5DCBB}" name="dataraw_1" displayName="dataraw_1" ref="A1:K101" tableType="queryTable" totalsRowShown="0">
  <autoFilter ref="A1:K101" xr:uid="{A3C14C3B-7AFE-48A8-A469-1DA670C5DCBB}"/>
  <tableColumns count="11">
    <tableColumn id="1" xr3:uid="{02140309-5C9E-4FCF-A6BE-8EA0CEBA87DC}" uniqueName="1" name="TradeID" queryTableFieldId="1"/>
    <tableColumn id="2" xr3:uid="{FB262FC3-BDF2-4A55-9D6B-49D58D934551}" uniqueName="2" name="AccountID" queryTableFieldId="2"/>
    <tableColumn id="3" xr3:uid="{4C9DCEC0-8086-4C38-9571-B93501264379}" uniqueName="3" name="Pair" queryTableFieldId="3" dataDxfId="46"/>
    <tableColumn id="4" xr3:uid="{B0049864-1E12-47C0-8D45-1BD553A79BAB}" uniqueName="4" name="Session" queryTableFieldId="4" dataDxfId="45"/>
    <tableColumn id="5" xr3:uid="{B5B64422-7954-4A9C-B33D-8A5E60CB500D}" uniqueName="5" name="Direction" queryTableFieldId="5" dataDxfId="44"/>
    <tableColumn id="6" xr3:uid="{BE437651-A68A-4F41-A443-D45C25FBE21E}" uniqueName="6" name="Profit" queryTableFieldId="6"/>
    <tableColumn id="7" xr3:uid="{02DDF3D9-CEDC-4A92-A93C-3CC26BA2A00F}" uniqueName="7" name="R" queryTableFieldId="7"/>
    <tableColumn id="8" xr3:uid="{978AF754-C228-4791-B803-55E415CF70ED}" uniqueName="8" name="Risk Status" queryTableFieldId="8" dataDxfId="43"/>
    <tableColumn id="9" xr3:uid="{5FB9330C-B7E2-4D0F-8CE9-5BCD5AD9DF22}" uniqueName="9" name="Profit per R" queryTableFieldId="9"/>
    <tableColumn id="10" xr3:uid="{7B07BC40-ABE4-4622-B96B-23717E82E09B}" uniqueName="10" name="Result" queryTableFieldId="10" dataDxfId="42"/>
    <tableColumn id="11" xr3:uid="{3DD01B60-6855-4A1D-9460-87483A9790C6}" uniqueName="11" name="TradeDate" queryTableFieldId="11" dataDxfId="41"/>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1" totalsRowShown="0">
  <autoFilter ref="A1:K101"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40">
      <calculatedColumnFormula>IF(OR(dataraw[[#This Row],[R]]&gt;=2,dataraw[[#This Row],[Profit]]&gt;500),"GOOD","REVIEW")</calculatedColumnFormula>
    </tableColumn>
    <tableColumn id="14" xr3:uid="{4778648E-2E5E-4C3F-BBFA-07AD84B520D7}" name="Profit per R" dataDxfId="39">
      <calculatedColumnFormula>IFERROR(dataraw[[#This Row],[Profit]]/dataraw[[#This Row],[R]],"0")</calculatedColumnFormula>
    </tableColumn>
    <tableColumn id="8" xr3:uid="{CC96218F-2F0A-46BB-98E4-8AE8218DB3D7}" name="Result"/>
    <tableColumn id="9" xr3:uid="{33DFF7EB-37F8-4413-89B2-47AF0ABF1AB0}" name="TradeDate" dataDxfId="38"/>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abSelected="1" workbookViewId="0">
      <selection activeCell="W9" sqref="W9"/>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B11"/>
  <sheetViews>
    <sheetView workbookViewId="0">
      <selection activeCell="A24" sqref="A24"/>
    </sheetView>
  </sheetViews>
  <sheetFormatPr defaultRowHeight="14.4" x14ac:dyDescent="0.3"/>
  <cols>
    <col min="1" max="1" width="18.6640625" bestFit="1" customWidth="1"/>
    <col min="2" max="2" width="10.109375" bestFit="1" customWidth="1"/>
  </cols>
  <sheetData>
    <row r="3" spans="1:2" x14ac:dyDescent="0.3">
      <c r="A3" s="4" t="s">
        <v>26</v>
      </c>
    </row>
    <row r="4" spans="1:2" x14ac:dyDescent="0.3">
      <c r="A4" s="5" t="s">
        <v>24</v>
      </c>
      <c r="B4" s="6">
        <v>100</v>
      </c>
    </row>
    <row r="5" spans="1:2" x14ac:dyDescent="0.3">
      <c r="A5" s="5" t="s">
        <v>25</v>
      </c>
      <c r="B5" s="6">
        <v>147</v>
      </c>
    </row>
    <row r="6" spans="1:2" x14ac:dyDescent="0.3">
      <c r="A6" s="5" t="s">
        <v>23</v>
      </c>
      <c r="B6" s="7">
        <v>12225</v>
      </c>
    </row>
    <row r="9" spans="1:2" x14ac:dyDescent="0.3">
      <c r="A9" s="8" t="s">
        <v>27</v>
      </c>
      <c r="B9" s="2">
        <f>GETPIVOTDATA("Count of TradeID",$A$3)</f>
        <v>100</v>
      </c>
    </row>
    <row r="10" spans="1:2" x14ac:dyDescent="0.3">
      <c r="A10" s="9" t="s">
        <v>28</v>
      </c>
      <c r="B10" s="9">
        <f>GETPIVOTDATA("Average of Profit per R",$A$3)</f>
        <v>147</v>
      </c>
    </row>
    <row r="11" spans="1:2" x14ac:dyDescent="0.3">
      <c r="A11" s="10" t="s">
        <v>29</v>
      </c>
      <c r="B11" s="11">
        <f>GETPIVOTDATA("Sum of Profit",$A$3)</f>
        <v>12225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958-9FC5-45C7-B06E-A5AB8F93831F}">
  <dimension ref="A1:K101"/>
  <sheetViews>
    <sheetView topLeftCell="A2" workbookViewId="0">
      <selection activeCell="H10" sqref="H10"/>
    </sheetView>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21</v>
      </c>
      <c r="I2">
        <v>200</v>
      </c>
      <c r="J2" s="6" t="s">
        <v>12</v>
      </c>
      <c r="K2" s="1">
        <v>46164</v>
      </c>
    </row>
    <row r="3" spans="1:11" x14ac:dyDescent="0.3">
      <c r="A3">
        <v>80</v>
      </c>
      <c r="B3">
        <v>10006</v>
      </c>
      <c r="C3" s="6" t="s">
        <v>9</v>
      </c>
      <c r="D3" s="6" t="s">
        <v>16</v>
      </c>
      <c r="E3" s="6" t="s">
        <v>11</v>
      </c>
      <c r="F3">
        <v>600</v>
      </c>
      <c r="G3">
        <v>3</v>
      </c>
      <c r="H3" s="6" t="s">
        <v>21</v>
      </c>
      <c r="I3">
        <v>200</v>
      </c>
      <c r="J3" s="6" t="s">
        <v>12</v>
      </c>
      <c r="K3" s="1">
        <v>46171</v>
      </c>
    </row>
    <row r="4" spans="1:11" x14ac:dyDescent="0.3">
      <c r="A4">
        <v>16</v>
      </c>
      <c r="B4">
        <v>10006</v>
      </c>
      <c r="C4" s="6" t="s">
        <v>9</v>
      </c>
      <c r="D4" s="6" t="s">
        <v>10</v>
      </c>
      <c r="E4" s="6" t="s">
        <v>11</v>
      </c>
      <c r="F4">
        <v>500</v>
      </c>
      <c r="G4">
        <v>2</v>
      </c>
      <c r="H4" s="6" t="s">
        <v>21</v>
      </c>
      <c r="I4">
        <v>250</v>
      </c>
      <c r="J4" s="6" t="s">
        <v>12</v>
      </c>
      <c r="K4" s="1">
        <v>46168</v>
      </c>
    </row>
    <row r="5" spans="1:11" x14ac:dyDescent="0.3">
      <c r="A5">
        <v>78</v>
      </c>
      <c r="B5">
        <v>10001</v>
      </c>
      <c r="C5" s="6" t="s">
        <v>9</v>
      </c>
      <c r="D5" s="6" t="s">
        <v>10</v>
      </c>
      <c r="E5" s="6" t="s">
        <v>11</v>
      </c>
      <c r="F5">
        <v>500</v>
      </c>
      <c r="G5">
        <v>2</v>
      </c>
      <c r="H5" s="6" t="s">
        <v>21</v>
      </c>
      <c r="I5">
        <v>250</v>
      </c>
      <c r="J5" s="6" t="s">
        <v>12</v>
      </c>
      <c r="K5" s="1">
        <v>46182</v>
      </c>
    </row>
    <row r="6" spans="1:11" x14ac:dyDescent="0.3">
      <c r="A6">
        <v>35</v>
      </c>
      <c r="B6">
        <v>10005</v>
      </c>
      <c r="C6" s="6" t="s">
        <v>9</v>
      </c>
      <c r="D6" s="6" t="s">
        <v>10</v>
      </c>
      <c r="E6" s="6" t="s">
        <v>14</v>
      </c>
      <c r="F6">
        <v>375</v>
      </c>
      <c r="G6">
        <v>1.5</v>
      </c>
      <c r="H6" s="6" t="s">
        <v>22</v>
      </c>
      <c r="I6">
        <v>250</v>
      </c>
      <c r="J6" s="6" t="s">
        <v>12</v>
      </c>
      <c r="K6" s="1">
        <v>46041</v>
      </c>
    </row>
    <row r="7" spans="1:11" x14ac:dyDescent="0.3">
      <c r="A7">
        <v>45</v>
      </c>
      <c r="B7">
        <v>10003</v>
      </c>
      <c r="C7" s="6" t="s">
        <v>9</v>
      </c>
      <c r="D7" s="6" t="s">
        <v>10</v>
      </c>
      <c r="E7" s="6" t="s">
        <v>14</v>
      </c>
      <c r="F7">
        <v>375</v>
      </c>
      <c r="G7">
        <v>1.5</v>
      </c>
      <c r="H7" s="6" t="s">
        <v>22</v>
      </c>
      <c r="I7">
        <v>250</v>
      </c>
      <c r="J7" s="6" t="s">
        <v>12</v>
      </c>
      <c r="K7" s="1">
        <v>46055</v>
      </c>
    </row>
    <row r="8" spans="1:11" x14ac:dyDescent="0.3">
      <c r="A8">
        <v>43</v>
      </c>
      <c r="B8">
        <v>10003</v>
      </c>
      <c r="C8" s="6" t="s">
        <v>9</v>
      </c>
      <c r="D8" s="6" t="s">
        <v>10</v>
      </c>
      <c r="E8" s="6" t="s">
        <v>11</v>
      </c>
      <c r="F8">
        <v>200</v>
      </c>
      <c r="G8">
        <v>2</v>
      </c>
      <c r="H8" s="6" t="s">
        <v>21</v>
      </c>
      <c r="I8">
        <v>100</v>
      </c>
      <c r="J8" s="6" t="s">
        <v>12</v>
      </c>
      <c r="K8" s="1">
        <v>46091</v>
      </c>
    </row>
    <row r="9" spans="1:11" x14ac:dyDescent="0.3">
      <c r="A9">
        <v>77</v>
      </c>
      <c r="B9">
        <v>10006</v>
      </c>
      <c r="C9" s="6" t="s">
        <v>9</v>
      </c>
      <c r="D9" s="6" t="s">
        <v>10</v>
      </c>
      <c r="E9" s="6" t="s">
        <v>11</v>
      </c>
      <c r="F9">
        <v>200</v>
      </c>
      <c r="G9">
        <v>2</v>
      </c>
      <c r="H9" s="6" t="s">
        <v>21</v>
      </c>
      <c r="I9">
        <v>100</v>
      </c>
      <c r="J9" s="6" t="s">
        <v>12</v>
      </c>
      <c r="K9" s="1">
        <v>46198</v>
      </c>
    </row>
    <row r="10" spans="1:11" x14ac:dyDescent="0.3">
      <c r="A10">
        <v>99</v>
      </c>
      <c r="B10">
        <v>10006</v>
      </c>
      <c r="C10" s="6" t="s">
        <v>9</v>
      </c>
      <c r="D10" s="6" t="s">
        <v>10</v>
      </c>
      <c r="E10" s="6" t="s">
        <v>11</v>
      </c>
      <c r="F10">
        <v>125</v>
      </c>
      <c r="G10">
        <v>2.5</v>
      </c>
      <c r="H10" s="6" t="s">
        <v>21</v>
      </c>
      <c r="I10">
        <v>50</v>
      </c>
      <c r="J10" s="6" t="s">
        <v>12</v>
      </c>
      <c r="K10" s="1">
        <v>46101</v>
      </c>
    </row>
    <row r="11" spans="1:11" x14ac:dyDescent="0.3">
      <c r="A11">
        <v>97</v>
      </c>
      <c r="B11">
        <v>10006</v>
      </c>
      <c r="C11" s="6" t="s">
        <v>9</v>
      </c>
      <c r="D11" s="6" t="s">
        <v>10</v>
      </c>
      <c r="E11" s="6" t="s">
        <v>14</v>
      </c>
      <c r="F11">
        <v>100</v>
      </c>
      <c r="G11">
        <v>1</v>
      </c>
      <c r="H11" s="6" t="s">
        <v>22</v>
      </c>
      <c r="I11">
        <v>100</v>
      </c>
      <c r="J11" s="6" t="s">
        <v>12</v>
      </c>
      <c r="K11" s="1">
        <v>46172</v>
      </c>
    </row>
    <row r="12" spans="1:11" x14ac:dyDescent="0.3">
      <c r="A12">
        <v>93</v>
      </c>
      <c r="B12">
        <v>10004</v>
      </c>
      <c r="C12" s="6" t="s">
        <v>9</v>
      </c>
      <c r="D12" s="6" t="s">
        <v>16</v>
      </c>
      <c r="E12" s="6" t="s">
        <v>11</v>
      </c>
      <c r="F12">
        <v>75</v>
      </c>
      <c r="G12">
        <v>1.5</v>
      </c>
      <c r="H12" s="6" t="s">
        <v>22</v>
      </c>
      <c r="I12">
        <v>50</v>
      </c>
      <c r="J12" s="6" t="s">
        <v>12</v>
      </c>
      <c r="K12" s="1">
        <v>46053</v>
      </c>
    </row>
    <row r="13" spans="1:11" x14ac:dyDescent="0.3">
      <c r="A13">
        <v>1</v>
      </c>
      <c r="B13">
        <v>10002</v>
      </c>
      <c r="C13" s="6" t="s">
        <v>9</v>
      </c>
      <c r="D13" s="6" t="s">
        <v>10</v>
      </c>
      <c r="E13" s="6" t="s">
        <v>11</v>
      </c>
      <c r="F13">
        <v>50</v>
      </c>
      <c r="G13">
        <v>1</v>
      </c>
      <c r="H13" s="6" t="s">
        <v>22</v>
      </c>
      <c r="I13">
        <v>50</v>
      </c>
      <c r="J13" s="6" t="s">
        <v>12</v>
      </c>
      <c r="K13" s="1">
        <v>46190</v>
      </c>
    </row>
    <row r="14" spans="1:11" x14ac:dyDescent="0.3">
      <c r="A14">
        <v>38</v>
      </c>
      <c r="B14">
        <v>10005</v>
      </c>
      <c r="C14" s="6" t="s">
        <v>9</v>
      </c>
      <c r="D14" s="6" t="s">
        <v>10</v>
      </c>
      <c r="E14" s="6" t="s">
        <v>11</v>
      </c>
      <c r="F14">
        <v>-25</v>
      </c>
      <c r="G14">
        <v>-0.5</v>
      </c>
      <c r="H14" s="6" t="s">
        <v>22</v>
      </c>
      <c r="I14">
        <v>50</v>
      </c>
      <c r="J14" s="6" t="s">
        <v>17</v>
      </c>
      <c r="K14" s="1">
        <v>46107</v>
      </c>
    </row>
    <row r="15" spans="1:11" x14ac:dyDescent="0.3">
      <c r="A15">
        <v>30</v>
      </c>
      <c r="B15">
        <v>10001</v>
      </c>
      <c r="C15" s="6" t="s">
        <v>9</v>
      </c>
      <c r="D15" s="6" t="s">
        <v>10</v>
      </c>
      <c r="E15" s="6" t="s">
        <v>14</v>
      </c>
      <c r="F15">
        <v>-50</v>
      </c>
      <c r="G15">
        <v>-0.5</v>
      </c>
      <c r="H15" s="6" t="s">
        <v>22</v>
      </c>
      <c r="I15">
        <v>100</v>
      </c>
      <c r="J15" s="6" t="s">
        <v>17</v>
      </c>
      <c r="K15" s="1">
        <v>46167</v>
      </c>
    </row>
    <row r="16" spans="1:11" x14ac:dyDescent="0.3">
      <c r="A16">
        <v>46</v>
      </c>
      <c r="B16">
        <v>10001</v>
      </c>
      <c r="C16" s="6" t="s">
        <v>9</v>
      </c>
      <c r="D16" s="6" t="s">
        <v>16</v>
      </c>
      <c r="E16" s="6" t="s">
        <v>11</v>
      </c>
      <c r="F16">
        <v>-50</v>
      </c>
      <c r="G16">
        <v>-0.5</v>
      </c>
      <c r="H16" s="6" t="s">
        <v>22</v>
      </c>
      <c r="I16">
        <v>100</v>
      </c>
      <c r="J16" s="6" t="s">
        <v>17</v>
      </c>
      <c r="K16" s="1">
        <v>46059</v>
      </c>
    </row>
    <row r="17" spans="1:11" x14ac:dyDescent="0.3">
      <c r="A17">
        <v>47</v>
      </c>
      <c r="B17">
        <v>10005</v>
      </c>
      <c r="C17" s="6" t="s">
        <v>9</v>
      </c>
      <c r="D17" s="6" t="s">
        <v>16</v>
      </c>
      <c r="E17" s="6" t="s">
        <v>11</v>
      </c>
      <c r="F17">
        <v>-50</v>
      </c>
      <c r="G17">
        <v>-0.5</v>
      </c>
      <c r="H17" s="6" t="s">
        <v>22</v>
      </c>
      <c r="I17">
        <v>100</v>
      </c>
      <c r="J17" s="6" t="s">
        <v>17</v>
      </c>
      <c r="K17" s="1">
        <v>46197</v>
      </c>
    </row>
    <row r="18" spans="1:11" x14ac:dyDescent="0.3">
      <c r="A18">
        <v>52</v>
      </c>
      <c r="B18">
        <v>10005</v>
      </c>
      <c r="C18" s="6" t="s">
        <v>9</v>
      </c>
      <c r="D18" s="6" t="s">
        <v>16</v>
      </c>
      <c r="E18" s="6" t="s">
        <v>14</v>
      </c>
      <c r="F18">
        <v>-50</v>
      </c>
      <c r="G18">
        <v>-1</v>
      </c>
      <c r="H18" s="6" t="s">
        <v>22</v>
      </c>
      <c r="I18">
        <v>50</v>
      </c>
      <c r="J18" s="6" t="s">
        <v>17</v>
      </c>
      <c r="K18" s="1">
        <v>46034</v>
      </c>
    </row>
    <row r="19" spans="1:11" x14ac:dyDescent="0.3">
      <c r="A19">
        <v>8</v>
      </c>
      <c r="B19">
        <v>10004</v>
      </c>
      <c r="C19" s="6" t="s">
        <v>9</v>
      </c>
      <c r="D19" s="6" t="s">
        <v>16</v>
      </c>
      <c r="E19" s="6" t="s">
        <v>11</v>
      </c>
      <c r="F19">
        <v>-100</v>
      </c>
      <c r="G19">
        <v>-1</v>
      </c>
      <c r="H19" s="6" t="s">
        <v>22</v>
      </c>
      <c r="I19">
        <v>100</v>
      </c>
      <c r="J19" s="6" t="s">
        <v>17</v>
      </c>
      <c r="K19" s="1">
        <v>46086</v>
      </c>
    </row>
    <row r="20" spans="1:11" x14ac:dyDescent="0.3">
      <c r="A20">
        <v>70</v>
      </c>
      <c r="B20">
        <v>10004</v>
      </c>
      <c r="C20" s="6" t="s">
        <v>9</v>
      </c>
      <c r="D20" s="6" t="s">
        <v>16</v>
      </c>
      <c r="E20" s="6" t="s">
        <v>11</v>
      </c>
      <c r="F20">
        <v>-100</v>
      </c>
      <c r="G20">
        <v>-1</v>
      </c>
      <c r="H20" s="6" t="s">
        <v>22</v>
      </c>
      <c r="I20">
        <v>100</v>
      </c>
      <c r="J20" s="6" t="s">
        <v>17</v>
      </c>
      <c r="K20" s="1">
        <v>46149</v>
      </c>
    </row>
    <row r="21" spans="1:11" x14ac:dyDescent="0.3">
      <c r="A21">
        <v>86</v>
      </c>
      <c r="B21">
        <v>10002</v>
      </c>
      <c r="C21" s="6" t="s">
        <v>9</v>
      </c>
      <c r="D21" s="6" t="s">
        <v>10</v>
      </c>
      <c r="E21" s="6" t="s">
        <v>14</v>
      </c>
      <c r="F21">
        <v>-100</v>
      </c>
      <c r="G21">
        <v>-1</v>
      </c>
      <c r="H21" s="6" t="s">
        <v>22</v>
      </c>
      <c r="I21">
        <v>100</v>
      </c>
      <c r="J21" s="6" t="s">
        <v>17</v>
      </c>
      <c r="K21" s="1">
        <v>46169</v>
      </c>
    </row>
    <row r="22" spans="1:11" x14ac:dyDescent="0.3">
      <c r="A22">
        <v>61</v>
      </c>
      <c r="B22">
        <v>10005</v>
      </c>
      <c r="C22" s="6" t="s">
        <v>9</v>
      </c>
      <c r="D22" s="6" t="s">
        <v>10</v>
      </c>
      <c r="E22" s="6" t="s">
        <v>11</v>
      </c>
      <c r="F22">
        <v>-125</v>
      </c>
      <c r="G22">
        <v>-0.5</v>
      </c>
      <c r="H22" s="6" t="s">
        <v>22</v>
      </c>
      <c r="I22">
        <v>250</v>
      </c>
      <c r="J22" s="6" t="s">
        <v>17</v>
      </c>
      <c r="K22" s="1">
        <v>46033</v>
      </c>
    </row>
    <row r="23" spans="1:11" x14ac:dyDescent="0.3">
      <c r="A23">
        <v>34</v>
      </c>
      <c r="B23">
        <v>10005</v>
      </c>
      <c r="C23" s="6" t="s">
        <v>9</v>
      </c>
      <c r="D23" s="6" t="s">
        <v>10</v>
      </c>
      <c r="E23" s="6" t="s">
        <v>11</v>
      </c>
      <c r="F23">
        <v>-150</v>
      </c>
      <c r="G23">
        <v>-1.5</v>
      </c>
      <c r="H23" s="6" t="s">
        <v>22</v>
      </c>
      <c r="I23">
        <v>100</v>
      </c>
      <c r="J23" s="6" t="s">
        <v>17</v>
      </c>
      <c r="K23" s="1">
        <v>46107</v>
      </c>
    </row>
    <row r="24" spans="1:11" x14ac:dyDescent="0.3">
      <c r="A24">
        <v>13</v>
      </c>
      <c r="B24">
        <v>10006</v>
      </c>
      <c r="C24" s="6" t="s">
        <v>15</v>
      </c>
      <c r="D24" s="6" t="s">
        <v>10</v>
      </c>
      <c r="E24" s="6" t="s">
        <v>11</v>
      </c>
      <c r="F24">
        <v>750</v>
      </c>
      <c r="G24">
        <v>3</v>
      </c>
      <c r="H24" s="6" t="s">
        <v>21</v>
      </c>
      <c r="I24">
        <v>250</v>
      </c>
      <c r="J24" s="6" t="s">
        <v>12</v>
      </c>
      <c r="K24" s="1">
        <v>46094</v>
      </c>
    </row>
    <row r="25" spans="1:11" x14ac:dyDescent="0.3">
      <c r="A25">
        <v>98</v>
      </c>
      <c r="B25">
        <v>10001</v>
      </c>
      <c r="C25" s="6" t="s">
        <v>15</v>
      </c>
      <c r="D25" s="6" t="s">
        <v>10</v>
      </c>
      <c r="E25" s="6" t="s">
        <v>14</v>
      </c>
      <c r="F25">
        <v>750</v>
      </c>
      <c r="G25">
        <v>3</v>
      </c>
      <c r="H25" s="6" t="s">
        <v>21</v>
      </c>
      <c r="I25">
        <v>250</v>
      </c>
      <c r="J25" s="6" t="s">
        <v>12</v>
      </c>
      <c r="K25" s="1">
        <v>46088</v>
      </c>
    </row>
    <row r="26" spans="1:11" x14ac:dyDescent="0.3">
      <c r="A26">
        <v>68</v>
      </c>
      <c r="B26">
        <v>10004</v>
      </c>
      <c r="C26" s="6" t="s">
        <v>15</v>
      </c>
      <c r="D26" s="6" t="s">
        <v>10</v>
      </c>
      <c r="E26" s="6" t="s">
        <v>11</v>
      </c>
      <c r="F26">
        <v>625</v>
      </c>
      <c r="G26">
        <v>2.5</v>
      </c>
      <c r="H26" s="6" t="s">
        <v>21</v>
      </c>
      <c r="I26">
        <v>250</v>
      </c>
      <c r="J26" s="6" t="s">
        <v>12</v>
      </c>
      <c r="K26" s="1">
        <v>46207</v>
      </c>
    </row>
    <row r="27" spans="1:11" x14ac:dyDescent="0.3">
      <c r="A27">
        <v>85</v>
      </c>
      <c r="B27">
        <v>10003</v>
      </c>
      <c r="C27" s="6" t="s">
        <v>15</v>
      </c>
      <c r="D27" s="6" t="s">
        <v>16</v>
      </c>
      <c r="E27" s="6" t="s">
        <v>11</v>
      </c>
      <c r="F27">
        <v>600</v>
      </c>
      <c r="G27">
        <v>3</v>
      </c>
      <c r="H27" s="6" t="s">
        <v>21</v>
      </c>
      <c r="I27">
        <v>200</v>
      </c>
      <c r="J27" s="6" t="s">
        <v>12</v>
      </c>
      <c r="K27" s="1">
        <v>46151</v>
      </c>
    </row>
    <row r="28" spans="1:11" x14ac:dyDescent="0.3">
      <c r="A28">
        <v>15</v>
      </c>
      <c r="B28">
        <v>10004</v>
      </c>
      <c r="C28" s="6" t="s">
        <v>15</v>
      </c>
      <c r="D28" s="6" t="s">
        <v>16</v>
      </c>
      <c r="E28" s="6" t="s">
        <v>14</v>
      </c>
      <c r="F28">
        <v>500</v>
      </c>
      <c r="G28">
        <v>2.5</v>
      </c>
      <c r="H28" s="6" t="s">
        <v>21</v>
      </c>
      <c r="I28">
        <v>200</v>
      </c>
      <c r="J28" s="6" t="s">
        <v>12</v>
      </c>
      <c r="K28" s="1">
        <v>46187</v>
      </c>
    </row>
    <row r="29" spans="1:11" x14ac:dyDescent="0.3">
      <c r="A29">
        <v>37</v>
      </c>
      <c r="B29">
        <v>10003</v>
      </c>
      <c r="C29" s="6" t="s">
        <v>15</v>
      </c>
      <c r="D29" s="6" t="s">
        <v>16</v>
      </c>
      <c r="E29" s="6" t="s">
        <v>14</v>
      </c>
      <c r="F29">
        <v>500</v>
      </c>
      <c r="G29">
        <v>2</v>
      </c>
      <c r="H29" s="6" t="s">
        <v>21</v>
      </c>
      <c r="I29">
        <v>250</v>
      </c>
      <c r="J29" s="6" t="s">
        <v>12</v>
      </c>
      <c r="K29" s="1">
        <v>46093</v>
      </c>
    </row>
    <row r="30" spans="1:11" x14ac:dyDescent="0.3">
      <c r="A30">
        <v>71</v>
      </c>
      <c r="B30">
        <v>10004</v>
      </c>
      <c r="C30" s="6" t="s">
        <v>15</v>
      </c>
      <c r="D30" s="6" t="s">
        <v>16</v>
      </c>
      <c r="E30" s="6" t="s">
        <v>11</v>
      </c>
      <c r="F30">
        <v>500</v>
      </c>
      <c r="G30">
        <v>2</v>
      </c>
      <c r="H30" s="6" t="s">
        <v>21</v>
      </c>
      <c r="I30">
        <v>250</v>
      </c>
      <c r="J30" s="6" t="s">
        <v>12</v>
      </c>
      <c r="K30" s="1">
        <v>46151</v>
      </c>
    </row>
    <row r="31" spans="1:11" x14ac:dyDescent="0.3">
      <c r="A31">
        <v>88</v>
      </c>
      <c r="B31">
        <v>10004</v>
      </c>
      <c r="C31" s="6" t="s">
        <v>15</v>
      </c>
      <c r="D31" s="6" t="s">
        <v>16</v>
      </c>
      <c r="E31" s="6" t="s">
        <v>11</v>
      </c>
      <c r="F31">
        <v>500</v>
      </c>
      <c r="G31">
        <v>2</v>
      </c>
      <c r="H31" s="6" t="s">
        <v>21</v>
      </c>
      <c r="I31">
        <v>250</v>
      </c>
      <c r="J31" s="6" t="s">
        <v>12</v>
      </c>
      <c r="K31" s="1">
        <v>46204</v>
      </c>
    </row>
    <row r="32" spans="1:11" x14ac:dyDescent="0.3">
      <c r="A32">
        <v>76</v>
      </c>
      <c r="B32">
        <v>10005</v>
      </c>
      <c r="C32" s="6" t="s">
        <v>15</v>
      </c>
      <c r="D32" s="6" t="s">
        <v>10</v>
      </c>
      <c r="E32" s="6" t="s">
        <v>14</v>
      </c>
      <c r="F32">
        <v>375</v>
      </c>
      <c r="G32">
        <v>1.5</v>
      </c>
      <c r="H32" s="6" t="s">
        <v>22</v>
      </c>
      <c r="I32">
        <v>250</v>
      </c>
      <c r="J32" s="6" t="s">
        <v>12</v>
      </c>
      <c r="K32" s="1">
        <v>46034</v>
      </c>
    </row>
    <row r="33" spans="1:11" x14ac:dyDescent="0.3">
      <c r="A33">
        <v>92</v>
      </c>
      <c r="B33">
        <v>10001</v>
      </c>
      <c r="C33" s="6" t="s">
        <v>15</v>
      </c>
      <c r="D33" s="6" t="s">
        <v>16</v>
      </c>
      <c r="E33" s="6" t="s">
        <v>14</v>
      </c>
      <c r="F33">
        <v>375</v>
      </c>
      <c r="G33">
        <v>1.5</v>
      </c>
      <c r="H33" s="6" t="s">
        <v>22</v>
      </c>
      <c r="I33">
        <v>250</v>
      </c>
      <c r="J33" s="6" t="s">
        <v>12</v>
      </c>
      <c r="K33" s="1">
        <v>46030</v>
      </c>
    </row>
    <row r="34" spans="1:11" x14ac:dyDescent="0.3">
      <c r="A34">
        <v>10</v>
      </c>
      <c r="B34">
        <v>10004</v>
      </c>
      <c r="C34" s="6" t="s">
        <v>15</v>
      </c>
      <c r="D34" s="6" t="s">
        <v>10</v>
      </c>
      <c r="E34" s="6" t="s">
        <v>14</v>
      </c>
      <c r="F34">
        <v>300</v>
      </c>
      <c r="G34">
        <v>3</v>
      </c>
      <c r="H34" s="6" t="s">
        <v>21</v>
      </c>
      <c r="I34">
        <v>100</v>
      </c>
      <c r="J34" s="6" t="s">
        <v>12</v>
      </c>
      <c r="K34" s="1">
        <v>46182</v>
      </c>
    </row>
    <row r="35" spans="1:11" x14ac:dyDescent="0.3">
      <c r="A35">
        <v>23</v>
      </c>
      <c r="B35">
        <v>10003</v>
      </c>
      <c r="C35" s="6" t="s">
        <v>15</v>
      </c>
      <c r="D35" s="6" t="s">
        <v>10</v>
      </c>
      <c r="E35" s="6" t="s">
        <v>14</v>
      </c>
      <c r="F35">
        <v>300</v>
      </c>
      <c r="G35">
        <v>3</v>
      </c>
      <c r="H35" s="6" t="s">
        <v>21</v>
      </c>
      <c r="I35">
        <v>100</v>
      </c>
      <c r="J35" s="6" t="s">
        <v>12</v>
      </c>
      <c r="K35" s="1">
        <v>46057</v>
      </c>
    </row>
    <row r="36" spans="1:11" x14ac:dyDescent="0.3">
      <c r="A36">
        <v>54</v>
      </c>
      <c r="B36">
        <v>10006</v>
      </c>
      <c r="C36" s="6" t="s">
        <v>15</v>
      </c>
      <c r="D36" s="6" t="s">
        <v>16</v>
      </c>
      <c r="E36" s="6" t="s">
        <v>14</v>
      </c>
      <c r="F36">
        <v>300</v>
      </c>
      <c r="G36">
        <v>3</v>
      </c>
      <c r="H36" s="6" t="s">
        <v>21</v>
      </c>
      <c r="I36">
        <v>100</v>
      </c>
      <c r="J36" s="6" t="s">
        <v>12</v>
      </c>
      <c r="K36" s="1">
        <v>46125</v>
      </c>
    </row>
    <row r="37" spans="1:11" x14ac:dyDescent="0.3">
      <c r="A37">
        <v>12</v>
      </c>
      <c r="B37">
        <v>10006</v>
      </c>
      <c r="C37" s="6" t="s">
        <v>15</v>
      </c>
      <c r="D37" s="6" t="s">
        <v>16</v>
      </c>
      <c r="E37" s="6" t="s">
        <v>14</v>
      </c>
      <c r="F37">
        <v>250</v>
      </c>
      <c r="G37">
        <v>2.5</v>
      </c>
      <c r="H37" s="6" t="s">
        <v>21</v>
      </c>
      <c r="I37">
        <v>100</v>
      </c>
      <c r="J37" s="6" t="s">
        <v>12</v>
      </c>
      <c r="K37" s="1">
        <v>46043</v>
      </c>
    </row>
    <row r="38" spans="1:11" x14ac:dyDescent="0.3">
      <c r="A38">
        <v>63</v>
      </c>
      <c r="B38">
        <v>10001</v>
      </c>
      <c r="C38" s="6" t="s">
        <v>15</v>
      </c>
      <c r="D38" s="6" t="s">
        <v>10</v>
      </c>
      <c r="E38" s="6" t="s">
        <v>11</v>
      </c>
      <c r="F38">
        <v>250</v>
      </c>
      <c r="G38">
        <v>1</v>
      </c>
      <c r="H38" s="6" t="s">
        <v>22</v>
      </c>
      <c r="I38">
        <v>250</v>
      </c>
      <c r="J38" s="6" t="s">
        <v>12</v>
      </c>
      <c r="K38" s="1">
        <v>46135</v>
      </c>
    </row>
    <row r="39" spans="1:11" x14ac:dyDescent="0.3">
      <c r="A39">
        <v>95</v>
      </c>
      <c r="B39">
        <v>10002</v>
      </c>
      <c r="C39" s="6" t="s">
        <v>15</v>
      </c>
      <c r="D39" s="6" t="s">
        <v>16</v>
      </c>
      <c r="E39" s="6" t="s">
        <v>14</v>
      </c>
      <c r="F39">
        <v>250</v>
      </c>
      <c r="G39">
        <v>2.5</v>
      </c>
      <c r="H39" s="6" t="s">
        <v>21</v>
      </c>
      <c r="I39">
        <v>100</v>
      </c>
      <c r="J39" s="6" t="s">
        <v>12</v>
      </c>
      <c r="K39" s="1">
        <v>46065</v>
      </c>
    </row>
    <row r="40" spans="1:11" x14ac:dyDescent="0.3">
      <c r="A40">
        <v>84</v>
      </c>
      <c r="B40">
        <v>10003</v>
      </c>
      <c r="C40" s="6" t="s">
        <v>15</v>
      </c>
      <c r="D40" s="6" t="s">
        <v>16</v>
      </c>
      <c r="E40" s="6" t="s">
        <v>11</v>
      </c>
      <c r="F40">
        <v>200</v>
      </c>
      <c r="G40">
        <v>2</v>
      </c>
      <c r="H40" s="6" t="s">
        <v>21</v>
      </c>
      <c r="I40">
        <v>100</v>
      </c>
      <c r="J40" s="6" t="s">
        <v>12</v>
      </c>
      <c r="K40" s="1">
        <v>46142</v>
      </c>
    </row>
    <row r="41" spans="1:11" x14ac:dyDescent="0.3">
      <c r="A41">
        <v>33</v>
      </c>
      <c r="B41">
        <v>10001</v>
      </c>
      <c r="C41" s="6" t="s">
        <v>15</v>
      </c>
      <c r="D41" s="6" t="s">
        <v>16</v>
      </c>
      <c r="E41" s="6" t="s">
        <v>14</v>
      </c>
      <c r="F41">
        <v>150</v>
      </c>
      <c r="G41">
        <v>3</v>
      </c>
      <c r="H41" s="6" t="s">
        <v>21</v>
      </c>
      <c r="I41">
        <v>50</v>
      </c>
      <c r="J41" s="6" t="s">
        <v>12</v>
      </c>
      <c r="K41" s="1">
        <v>46066</v>
      </c>
    </row>
    <row r="42" spans="1:11" x14ac:dyDescent="0.3">
      <c r="A42">
        <v>100</v>
      </c>
      <c r="B42">
        <v>10004</v>
      </c>
      <c r="C42" s="6" t="s">
        <v>15</v>
      </c>
      <c r="D42" s="6" t="s">
        <v>16</v>
      </c>
      <c r="E42" s="6" t="s">
        <v>14</v>
      </c>
      <c r="F42">
        <v>150</v>
      </c>
      <c r="G42">
        <v>1.5</v>
      </c>
      <c r="H42" s="6" t="s">
        <v>22</v>
      </c>
      <c r="I42">
        <v>100</v>
      </c>
      <c r="J42" s="6" t="s">
        <v>12</v>
      </c>
      <c r="K42" s="1">
        <v>46202</v>
      </c>
    </row>
    <row r="43" spans="1:11" x14ac:dyDescent="0.3">
      <c r="A43">
        <v>3</v>
      </c>
      <c r="B43">
        <v>10004</v>
      </c>
      <c r="C43" s="6" t="s">
        <v>15</v>
      </c>
      <c r="D43" s="6" t="s">
        <v>16</v>
      </c>
      <c r="E43" s="6" t="s">
        <v>14</v>
      </c>
      <c r="F43">
        <v>100</v>
      </c>
      <c r="G43">
        <v>1</v>
      </c>
      <c r="H43" s="6" t="s">
        <v>22</v>
      </c>
      <c r="I43">
        <v>100</v>
      </c>
      <c r="J43" s="6" t="s">
        <v>12</v>
      </c>
      <c r="K43" s="1">
        <v>46170</v>
      </c>
    </row>
    <row r="44" spans="1:11" x14ac:dyDescent="0.3">
      <c r="A44">
        <v>7</v>
      </c>
      <c r="B44">
        <v>10006</v>
      </c>
      <c r="C44" s="6" t="s">
        <v>15</v>
      </c>
      <c r="D44" s="6" t="s">
        <v>10</v>
      </c>
      <c r="E44" s="6" t="s">
        <v>14</v>
      </c>
      <c r="F44">
        <v>100</v>
      </c>
      <c r="G44">
        <v>2</v>
      </c>
      <c r="H44" s="6" t="s">
        <v>21</v>
      </c>
      <c r="I44">
        <v>50</v>
      </c>
      <c r="J44" s="6" t="s">
        <v>12</v>
      </c>
      <c r="K44" s="1">
        <v>46174</v>
      </c>
    </row>
    <row r="45" spans="1:11" x14ac:dyDescent="0.3">
      <c r="A45">
        <v>20</v>
      </c>
      <c r="B45">
        <v>10006</v>
      </c>
      <c r="C45" s="6" t="s">
        <v>15</v>
      </c>
      <c r="D45" s="6" t="s">
        <v>10</v>
      </c>
      <c r="E45" s="6" t="s">
        <v>14</v>
      </c>
      <c r="F45">
        <v>100</v>
      </c>
      <c r="G45">
        <v>1</v>
      </c>
      <c r="H45" s="6" t="s">
        <v>22</v>
      </c>
      <c r="I45">
        <v>100</v>
      </c>
      <c r="J45" s="6" t="s">
        <v>12</v>
      </c>
      <c r="K45" s="1">
        <v>46041</v>
      </c>
    </row>
    <row r="46" spans="1:11" x14ac:dyDescent="0.3">
      <c r="A46">
        <v>62</v>
      </c>
      <c r="B46">
        <v>10004</v>
      </c>
      <c r="C46" s="6" t="s">
        <v>15</v>
      </c>
      <c r="D46" s="6" t="s">
        <v>16</v>
      </c>
      <c r="E46" s="6" t="s">
        <v>11</v>
      </c>
      <c r="F46">
        <v>50</v>
      </c>
      <c r="G46">
        <v>1</v>
      </c>
      <c r="H46" s="6" t="s">
        <v>22</v>
      </c>
      <c r="I46">
        <v>50</v>
      </c>
      <c r="J46" s="6" t="s">
        <v>12</v>
      </c>
      <c r="K46" s="1">
        <v>46133</v>
      </c>
    </row>
    <row r="47" spans="1:11" x14ac:dyDescent="0.3">
      <c r="A47">
        <v>24</v>
      </c>
      <c r="B47">
        <v>10006</v>
      </c>
      <c r="C47" s="6" t="s">
        <v>15</v>
      </c>
      <c r="D47" s="6" t="s">
        <v>10</v>
      </c>
      <c r="E47" s="6" t="s">
        <v>14</v>
      </c>
      <c r="F47">
        <v>-25</v>
      </c>
      <c r="G47">
        <v>-0.5</v>
      </c>
      <c r="H47" s="6" t="s">
        <v>22</v>
      </c>
      <c r="I47">
        <v>50</v>
      </c>
      <c r="J47" s="6" t="s">
        <v>17</v>
      </c>
      <c r="K47" s="1">
        <v>46177</v>
      </c>
    </row>
    <row r="48" spans="1:11" x14ac:dyDescent="0.3">
      <c r="A48">
        <v>14</v>
      </c>
      <c r="B48">
        <v>10001</v>
      </c>
      <c r="C48" s="6" t="s">
        <v>15</v>
      </c>
      <c r="D48" s="6" t="s">
        <v>10</v>
      </c>
      <c r="E48" s="6" t="s">
        <v>11</v>
      </c>
      <c r="F48">
        <v>-50</v>
      </c>
      <c r="G48">
        <v>-0.5</v>
      </c>
      <c r="H48" s="6" t="s">
        <v>22</v>
      </c>
      <c r="I48">
        <v>100</v>
      </c>
      <c r="J48" s="6" t="s">
        <v>17</v>
      </c>
      <c r="K48" s="1">
        <v>46119</v>
      </c>
    </row>
    <row r="49" spans="1:11" x14ac:dyDescent="0.3">
      <c r="A49">
        <v>49</v>
      </c>
      <c r="B49">
        <v>10001</v>
      </c>
      <c r="C49" s="6" t="s">
        <v>15</v>
      </c>
      <c r="D49" s="6" t="s">
        <v>10</v>
      </c>
      <c r="E49" s="6" t="s">
        <v>11</v>
      </c>
      <c r="F49">
        <v>-50</v>
      </c>
      <c r="G49">
        <v>-0.5</v>
      </c>
      <c r="H49" s="6" t="s">
        <v>22</v>
      </c>
      <c r="I49">
        <v>100</v>
      </c>
      <c r="J49" s="6" t="s">
        <v>17</v>
      </c>
      <c r="K49" s="1">
        <v>46095</v>
      </c>
    </row>
    <row r="50" spans="1:11" x14ac:dyDescent="0.3">
      <c r="A50">
        <v>79</v>
      </c>
      <c r="B50">
        <v>10001</v>
      </c>
      <c r="C50" s="6" t="s">
        <v>15</v>
      </c>
      <c r="D50" s="6" t="s">
        <v>10</v>
      </c>
      <c r="E50" s="6" t="s">
        <v>14</v>
      </c>
      <c r="F50">
        <v>-50</v>
      </c>
      <c r="G50">
        <v>-1</v>
      </c>
      <c r="H50" s="6" t="s">
        <v>22</v>
      </c>
      <c r="I50">
        <v>50</v>
      </c>
      <c r="J50" s="6" t="s">
        <v>17</v>
      </c>
      <c r="K50" s="1">
        <v>46128</v>
      </c>
    </row>
    <row r="51" spans="1:11" x14ac:dyDescent="0.3">
      <c r="A51">
        <v>40</v>
      </c>
      <c r="B51">
        <v>10005</v>
      </c>
      <c r="C51" s="6" t="s">
        <v>15</v>
      </c>
      <c r="D51" s="6" t="s">
        <v>16</v>
      </c>
      <c r="E51" s="6" t="s">
        <v>11</v>
      </c>
      <c r="F51">
        <v>-75</v>
      </c>
      <c r="G51">
        <v>-1.5</v>
      </c>
      <c r="H51" s="6" t="s">
        <v>22</v>
      </c>
      <c r="I51">
        <v>50</v>
      </c>
      <c r="J51" s="6" t="s">
        <v>17</v>
      </c>
      <c r="K51" s="1">
        <v>46099</v>
      </c>
    </row>
    <row r="52" spans="1:11" x14ac:dyDescent="0.3">
      <c r="A52">
        <v>39</v>
      </c>
      <c r="B52">
        <v>10003</v>
      </c>
      <c r="C52" s="6" t="s">
        <v>15</v>
      </c>
      <c r="D52" s="6" t="s">
        <v>16</v>
      </c>
      <c r="E52" s="6" t="s">
        <v>14</v>
      </c>
      <c r="F52">
        <v>-100</v>
      </c>
      <c r="G52">
        <v>-0.5</v>
      </c>
      <c r="H52" s="6" t="s">
        <v>22</v>
      </c>
      <c r="I52">
        <v>200</v>
      </c>
      <c r="J52" s="6" t="s">
        <v>17</v>
      </c>
      <c r="K52" s="1">
        <v>46164</v>
      </c>
    </row>
    <row r="53" spans="1:11" x14ac:dyDescent="0.3">
      <c r="A53">
        <v>29</v>
      </c>
      <c r="B53">
        <v>10002</v>
      </c>
      <c r="C53" s="6" t="s">
        <v>15</v>
      </c>
      <c r="D53" s="6" t="s">
        <v>16</v>
      </c>
      <c r="E53" s="6" t="s">
        <v>11</v>
      </c>
      <c r="F53">
        <v>-125</v>
      </c>
      <c r="G53">
        <v>-0.5</v>
      </c>
      <c r="H53" s="6" t="s">
        <v>22</v>
      </c>
      <c r="I53">
        <v>250</v>
      </c>
      <c r="J53" s="6" t="s">
        <v>17</v>
      </c>
      <c r="K53" s="1">
        <v>46135</v>
      </c>
    </row>
    <row r="54" spans="1:11" x14ac:dyDescent="0.3">
      <c r="A54">
        <v>69</v>
      </c>
      <c r="B54">
        <v>10005</v>
      </c>
      <c r="C54" s="6" t="s">
        <v>15</v>
      </c>
      <c r="D54" s="6" t="s">
        <v>16</v>
      </c>
      <c r="E54" s="6" t="s">
        <v>11</v>
      </c>
      <c r="F54">
        <v>-125</v>
      </c>
      <c r="G54">
        <v>-0.5</v>
      </c>
      <c r="H54" s="6" t="s">
        <v>22</v>
      </c>
      <c r="I54">
        <v>250</v>
      </c>
      <c r="J54" s="6" t="s">
        <v>17</v>
      </c>
      <c r="K54" s="1">
        <v>46042</v>
      </c>
    </row>
    <row r="55" spans="1:11" x14ac:dyDescent="0.3">
      <c r="A55">
        <v>22</v>
      </c>
      <c r="B55">
        <v>10006</v>
      </c>
      <c r="C55" s="6" t="s">
        <v>15</v>
      </c>
      <c r="D55" s="6" t="s">
        <v>16</v>
      </c>
      <c r="E55" s="6" t="s">
        <v>11</v>
      </c>
      <c r="F55">
        <v>-250</v>
      </c>
      <c r="G55">
        <v>-1</v>
      </c>
      <c r="H55" s="6" t="s">
        <v>22</v>
      </c>
      <c r="I55">
        <v>250</v>
      </c>
      <c r="J55" s="6" t="s">
        <v>17</v>
      </c>
      <c r="K55" s="1">
        <v>46165</v>
      </c>
    </row>
    <row r="56" spans="1:11" x14ac:dyDescent="0.3">
      <c r="A56">
        <v>36</v>
      </c>
      <c r="B56">
        <v>10004</v>
      </c>
      <c r="C56" s="6" t="s">
        <v>15</v>
      </c>
      <c r="D56" s="6" t="s">
        <v>10</v>
      </c>
      <c r="E56" s="6" t="s">
        <v>14</v>
      </c>
      <c r="F56">
        <v>-300</v>
      </c>
      <c r="G56">
        <v>-1.5</v>
      </c>
      <c r="H56" s="6" t="s">
        <v>22</v>
      </c>
      <c r="I56">
        <v>200</v>
      </c>
      <c r="J56" s="6" t="s">
        <v>17</v>
      </c>
      <c r="K56" s="1">
        <v>46057</v>
      </c>
    </row>
    <row r="57" spans="1:11" x14ac:dyDescent="0.3">
      <c r="A57">
        <v>32</v>
      </c>
      <c r="B57">
        <v>10003</v>
      </c>
      <c r="C57" s="6" t="s">
        <v>13</v>
      </c>
      <c r="D57" s="6" t="s">
        <v>16</v>
      </c>
      <c r="E57" s="6" t="s">
        <v>11</v>
      </c>
      <c r="F57">
        <v>750</v>
      </c>
      <c r="G57">
        <v>3</v>
      </c>
      <c r="H57" s="6" t="s">
        <v>21</v>
      </c>
      <c r="I57">
        <v>250</v>
      </c>
      <c r="J57" s="6" t="s">
        <v>12</v>
      </c>
      <c r="K57" s="1">
        <v>46027</v>
      </c>
    </row>
    <row r="58" spans="1:11" x14ac:dyDescent="0.3">
      <c r="A58">
        <v>73</v>
      </c>
      <c r="B58">
        <v>10002</v>
      </c>
      <c r="C58" s="6" t="s">
        <v>13</v>
      </c>
      <c r="D58" s="6" t="s">
        <v>10</v>
      </c>
      <c r="E58" s="6" t="s">
        <v>11</v>
      </c>
      <c r="F58">
        <v>500</v>
      </c>
      <c r="G58">
        <v>2.5</v>
      </c>
      <c r="H58" s="6" t="s">
        <v>21</v>
      </c>
      <c r="I58">
        <v>200</v>
      </c>
      <c r="J58" s="6" t="s">
        <v>12</v>
      </c>
      <c r="K58" s="1">
        <v>46191</v>
      </c>
    </row>
    <row r="59" spans="1:11" x14ac:dyDescent="0.3">
      <c r="A59">
        <v>74</v>
      </c>
      <c r="B59">
        <v>10004</v>
      </c>
      <c r="C59" s="6" t="s">
        <v>13</v>
      </c>
      <c r="D59" s="6" t="s">
        <v>16</v>
      </c>
      <c r="E59" s="6" t="s">
        <v>11</v>
      </c>
      <c r="F59">
        <v>500</v>
      </c>
      <c r="G59">
        <v>2.5</v>
      </c>
      <c r="H59" s="6" t="s">
        <v>21</v>
      </c>
      <c r="I59">
        <v>200</v>
      </c>
      <c r="J59" s="6" t="s">
        <v>12</v>
      </c>
      <c r="K59" s="1">
        <v>46081</v>
      </c>
    </row>
    <row r="60" spans="1:11" x14ac:dyDescent="0.3">
      <c r="A60">
        <v>87</v>
      </c>
      <c r="B60">
        <v>10001</v>
      </c>
      <c r="C60" s="6" t="s">
        <v>13</v>
      </c>
      <c r="D60" s="6" t="s">
        <v>16</v>
      </c>
      <c r="E60" s="6" t="s">
        <v>11</v>
      </c>
      <c r="F60">
        <v>375</v>
      </c>
      <c r="G60">
        <v>1.5</v>
      </c>
      <c r="H60" s="6" t="s">
        <v>22</v>
      </c>
      <c r="I60">
        <v>250</v>
      </c>
      <c r="J60" s="6" t="s">
        <v>12</v>
      </c>
      <c r="K60" s="1">
        <v>46203</v>
      </c>
    </row>
    <row r="61" spans="1:11" x14ac:dyDescent="0.3">
      <c r="A61">
        <v>65</v>
      </c>
      <c r="B61">
        <v>10004</v>
      </c>
      <c r="C61" s="6" t="s">
        <v>13</v>
      </c>
      <c r="D61" s="6" t="s">
        <v>10</v>
      </c>
      <c r="E61" s="6" t="s">
        <v>11</v>
      </c>
      <c r="F61">
        <v>300</v>
      </c>
      <c r="G61">
        <v>1.5</v>
      </c>
      <c r="H61" s="6" t="s">
        <v>22</v>
      </c>
      <c r="I61">
        <v>200</v>
      </c>
      <c r="J61" s="6" t="s">
        <v>12</v>
      </c>
      <c r="K61" s="1">
        <v>46167</v>
      </c>
    </row>
    <row r="62" spans="1:11" x14ac:dyDescent="0.3">
      <c r="A62">
        <v>26</v>
      </c>
      <c r="B62">
        <v>10004</v>
      </c>
      <c r="C62" s="6" t="s">
        <v>13</v>
      </c>
      <c r="D62" s="6" t="s">
        <v>10</v>
      </c>
      <c r="E62" s="6" t="s">
        <v>11</v>
      </c>
      <c r="F62">
        <v>250</v>
      </c>
      <c r="G62">
        <v>1</v>
      </c>
      <c r="H62" s="6" t="s">
        <v>22</v>
      </c>
      <c r="I62">
        <v>250</v>
      </c>
      <c r="J62" s="6" t="s">
        <v>12</v>
      </c>
      <c r="K62" s="1">
        <v>46173</v>
      </c>
    </row>
    <row r="63" spans="1:11" x14ac:dyDescent="0.3">
      <c r="A63">
        <v>55</v>
      </c>
      <c r="B63">
        <v>10005</v>
      </c>
      <c r="C63" s="6" t="s">
        <v>13</v>
      </c>
      <c r="D63" s="6" t="s">
        <v>10</v>
      </c>
      <c r="E63" s="6" t="s">
        <v>11</v>
      </c>
      <c r="F63">
        <v>200</v>
      </c>
      <c r="G63">
        <v>1</v>
      </c>
      <c r="H63" s="6" t="s">
        <v>22</v>
      </c>
      <c r="I63">
        <v>200</v>
      </c>
      <c r="J63" s="6" t="s">
        <v>12</v>
      </c>
      <c r="K63" s="1">
        <v>46120</v>
      </c>
    </row>
    <row r="64" spans="1:11" x14ac:dyDescent="0.3">
      <c r="A64">
        <v>59</v>
      </c>
      <c r="B64">
        <v>10006</v>
      </c>
      <c r="C64" s="6" t="s">
        <v>13</v>
      </c>
      <c r="D64" s="6" t="s">
        <v>10</v>
      </c>
      <c r="E64" s="6" t="s">
        <v>11</v>
      </c>
      <c r="F64">
        <v>200</v>
      </c>
      <c r="G64">
        <v>1</v>
      </c>
      <c r="H64" s="6" t="s">
        <v>22</v>
      </c>
      <c r="I64">
        <v>200</v>
      </c>
      <c r="J64" s="6" t="s">
        <v>12</v>
      </c>
      <c r="K64" s="1">
        <v>46140</v>
      </c>
    </row>
    <row r="65" spans="1:11" x14ac:dyDescent="0.3">
      <c r="A65">
        <v>66</v>
      </c>
      <c r="B65">
        <v>10004</v>
      </c>
      <c r="C65" s="6" t="s">
        <v>13</v>
      </c>
      <c r="D65" s="6" t="s">
        <v>10</v>
      </c>
      <c r="E65" s="6" t="s">
        <v>11</v>
      </c>
      <c r="F65">
        <v>200</v>
      </c>
      <c r="G65">
        <v>2</v>
      </c>
      <c r="H65" s="6" t="s">
        <v>21</v>
      </c>
      <c r="I65">
        <v>100</v>
      </c>
      <c r="J65" s="6" t="s">
        <v>12</v>
      </c>
      <c r="K65" s="1">
        <v>46160</v>
      </c>
    </row>
    <row r="66" spans="1:11" x14ac:dyDescent="0.3">
      <c r="A66">
        <v>2</v>
      </c>
      <c r="B66">
        <v>10001</v>
      </c>
      <c r="C66" s="6" t="s">
        <v>13</v>
      </c>
      <c r="D66" s="6" t="s">
        <v>10</v>
      </c>
      <c r="E66" s="6" t="s">
        <v>14</v>
      </c>
      <c r="F66">
        <v>150</v>
      </c>
      <c r="G66">
        <v>3</v>
      </c>
      <c r="H66" s="6" t="s">
        <v>21</v>
      </c>
      <c r="I66">
        <v>50</v>
      </c>
      <c r="J66" s="6" t="s">
        <v>12</v>
      </c>
      <c r="K66" s="1">
        <v>46178</v>
      </c>
    </row>
    <row r="67" spans="1:11" x14ac:dyDescent="0.3">
      <c r="A67">
        <v>94</v>
      </c>
      <c r="B67">
        <v>10004</v>
      </c>
      <c r="C67" s="6" t="s">
        <v>13</v>
      </c>
      <c r="D67" s="6" t="s">
        <v>10</v>
      </c>
      <c r="E67" s="6" t="s">
        <v>14</v>
      </c>
      <c r="F67">
        <v>150</v>
      </c>
      <c r="G67">
        <v>3</v>
      </c>
      <c r="H67" s="6" t="s">
        <v>21</v>
      </c>
      <c r="I67">
        <v>50</v>
      </c>
      <c r="J67" s="6" t="s">
        <v>12</v>
      </c>
      <c r="K67" s="1">
        <v>46091</v>
      </c>
    </row>
    <row r="68" spans="1:11" x14ac:dyDescent="0.3">
      <c r="A68">
        <v>57</v>
      </c>
      <c r="B68">
        <v>10005</v>
      </c>
      <c r="C68" s="6" t="s">
        <v>13</v>
      </c>
      <c r="D68" s="6" t="s">
        <v>16</v>
      </c>
      <c r="E68" s="6" t="s">
        <v>14</v>
      </c>
      <c r="F68">
        <v>125</v>
      </c>
      <c r="G68">
        <v>2.5</v>
      </c>
      <c r="H68" s="6" t="s">
        <v>21</v>
      </c>
      <c r="I68">
        <v>50</v>
      </c>
      <c r="J68" s="6" t="s">
        <v>12</v>
      </c>
      <c r="K68" s="1">
        <v>46076</v>
      </c>
    </row>
    <row r="69" spans="1:11" x14ac:dyDescent="0.3">
      <c r="A69">
        <v>4</v>
      </c>
      <c r="B69">
        <v>10002</v>
      </c>
      <c r="C69" s="6" t="s">
        <v>13</v>
      </c>
      <c r="D69" s="6" t="s">
        <v>16</v>
      </c>
      <c r="E69" s="6" t="s">
        <v>11</v>
      </c>
      <c r="F69">
        <v>100</v>
      </c>
      <c r="G69">
        <v>2</v>
      </c>
      <c r="H69" s="6" t="s">
        <v>21</v>
      </c>
      <c r="I69">
        <v>50</v>
      </c>
      <c r="J69" s="6" t="s">
        <v>12</v>
      </c>
      <c r="K69" s="1">
        <v>46205</v>
      </c>
    </row>
    <row r="70" spans="1:11" x14ac:dyDescent="0.3">
      <c r="A70">
        <v>27</v>
      </c>
      <c r="B70">
        <v>10006</v>
      </c>
      <c r="C70" s="6" t="s">
        <v>13</v>
      </c>
      <c r="D70" s="6" t="s">
        <v>16</v>
      </c>
      <c r="E70" s="6" t="s">
        <v>11</v>
      </c>
      <c r="F70">
        <v>50</v>
      </c>
      <c r="G70">
        <v>1</v>
      </c>
      <c r="H70" s="6" t="s">
        <v>22</v>
      </c>
      <c r="I70">
        <v>50</v>
      </c>
      <c r="J70" s="6" t="s">
        <v>12</v>
      </c>
      <c r="K70" s="1">
        <v>46117</v>
      </c>
    </row>
    <row r="71" spans="1:11" x14ac:dyDescent="0.3">
      <c r="A71">
        <v>72</v>
      </c>
      <c r="B71">
        <v>10004</v>
      </c>
      <c r="C71" s="6" t="s">
        <v>13</v>
      </c>
      <c r="D71" s="6" t="s">
        <v>10</v>
      </c>
      <c r="E71" s="6" t="s">
        <v>14</v>
      </c>
      <c r="F71">
        <v>50</v>
      </c>
      <c r="G71">
        <v>1</v>
      </c>
      <c r="H71" s="6" t="s">
        <v>22</v>
      </c>
      <c r="I71">
        <v>50</v>
      </c>
      <c r="J71" s="6" t="s">
        <v>12</v>
      </c>
      <c r="K71" s="1">
        <v>46069</v>
      </c>
    </row>
    <row r="72" spans="1:11" x14ac:dyDescent="0.3">
      <c r="A72">
        <v>75</v>
      </c>
      <c r="B72">
        <v>10003</v>
      </c>
      <c r="C72" s="6" t="s">
        <v>13</v>
      </c>
      <c r="D72" s="6" t="s">
        <v>10</v>
      </c>
      <c r="E72" s="6" t="s">
        <v>14</v>
      </c>
      <c r="F72">
        <v>50</v>
      </c>
      <c r="G72">
        <v>1</v>
      </c>
      <c r="H72" s="6" t="s">
        <v>22</v>
      </c>
      <c r="I72">
        <v>50</v>
      </c>
      <c r="J72" s="6" t="s">
        <v>12</v>
      </c>
      <c r="K72" s="1">
        <v>46047</v>
      </c>
    </row>
    <row r="73" spans="1:11" x14ac:dyDescent="0.3">
      <c r="A73">
        <v>17</v>
      </c>
      <c r="B73">
        <v>10005</v>
      </c>
      <c r="C73" s="6" t="s">
        <v>13</v>
      </c>
      <c r="D73" s="6" t="s">
        <v>10</v>
      </c>
      <c r="E73" s="6" t="s">
        <v>11</v>
      </c>
      <c r="F73">
        <v>-75</v>
      </c>
      <c r="G73">
        <v>-1.5</v>
      </c>
      <c r="H73" s="6" t="s">
        <v>22</v>
      </c>
      <c r="I73">
        <v>50</v>
      </c>
      <c r="J73" s="6" t="s">
        <v>17</v>
      </c>
      <c r="K73" s="1">
        <v>46067</v>
      </c>
    </row>
    <row r="74" spans="1:11" x14ac:dyDescent="0.3">
      <c r="A74">
        <v>53</v>
      </c>
      <c r="B74">
        <v>10004</v>
      </c>
      <c r="C74" s="6" t="s">
        <v>13</v>
      </c>
      <c r="D74" s="6" t="s">
        <v>16</v>
      </c>
      <c r="E74" s="6" t="s">
        <v>11</v>
      </c>
      <c r="F74">
        <v>-75</v>
      </c>
      <c r="G74">
        <v>-1.5</v>
      </c>
      <c r="H74" s="6" t="s">
        <v>22</v>
      </c>
      <c r="I74">
        <v>50</v>
      </c>
      <c r="J74" s="6" t="s">
        <v>17</v>
      </c>
      <c r="K74" s="1">
        <v>46054</v>
      </c>
    </row>
    <row r="75" spans="1:11" x14ac:dyDescent="0.3">
      <c r="A75">
        <v>21</v>
      </c>
      <c r="B75">
        <v>10005</v>
      </c>
      <c r="C75" s="6" t="s">
        <v>13</v>
      </c>
      <c r="D75" s="6" t="s">
        <v>10</v>
      </c>
      <c r="E75" s="6" t="s">
        <v>11</v>
      </c>
      <c r="F75">
        <v>-100</v>
      </c>
      <c r="G75">
        <v>-1</v>
      </c>
      <c r="H75" s="6" t="s">
        <v>22</v>
      </c>
      <c r="I75">
        <v>100</v>
      </c>
      <c r="J75" s="6" t="s">
        <v>17</v>
      </c>
      <c r="K75" s="1">
        <v>46059</v>
      </c>
    </row>
    <row r="76" spans="1:11" x14ac:dyDescent="0.3">
      <c r="A76">
        <v>48</v>
      </c>
      <c r="B76">
        <v>10006</v>
      </c>
      <c r="C76" s="6" t="s">
        <v>13</v>
      </c>
      <c r="D76" s="6" t="s">
        <v>10</v>
      </c>
      <c r="E76" s="6" t="s">
        <v>14</v>
      </c>
      <c r="F76">
        <v>-100</v>
      </c>
      <c r="G76">
        <v>-1</v>
      </c>
      <c r="H76" s="6" t="s">
        <v>22</v>
      </c>
      <c r="I76">
        <v>100</v>
      </c>
      <c r="J76" s="6" t="s">
        <v>17</v>
      </c>
      <c r="K76" s="1">
        <v>46072</v>
      </c>
    </row>
    <row r="77" spans="1:11" x14ac:dyDescent="0.3">
      <c r="A77">
        <v>83</v>
      </c>
      <c r="B77">
        <v>10002</v>
      </c>
      <c r="C77" s="6" t="s">
        <v>13</v>
      </c>
      <c r="D77" s="6" t="s">
        <v>16</v>
      </c>
      <c r="E77" s="6" t="s">
        <v>11</v>
      </c>
      <c r="F77">
        <v>-100</v>
      </c>
      <c r="G77">
        <v>-0.5</v>
      </c>
      <c r="H77" s="6" t="s">
        <v>22</v>
      </c>
      <c r="I77">
        <v>200</v>
      </c>
      <c r="J77" s="6" t="s">
        <v>17</v>
      </c>
      <c r="K77" s="1">
        <v>46146</v>
      </c>
    </row>
    <row r="78" spans="1:11" x14ac:dyDescent="0.3">
      <c r="A78">
        <v>5</v>
      </c>
      <c r="B78">
        <v>10003</v>
      </c>
      <c r="C78" s="6" t="s">
        <v>13</v>
      </c>
      <c r="D78" s="6" t="s">
        <v>10</v>
      </c>
      <c r="E78" s="6" t="s">
        <v>11</v>
      </c>
      <c r="F78">
        <v>-125</v>
      </c>
      <c r="G78">
        <v>-0.5</v>
      </c>
      <c r="H78" s="6" t="s">
        <v>22</v>
      </c>
      <c r="I78">
        <v>250</v>
      </c>
      <c r="J78" s="6" t="s">
        <v>17</v>
      </c>
      <c r="K78" s="1">
        <v>46050</v>
      </c>
    </row>
    <row r="79" spans="1:11" x14ac:dyDescent="0.3">
      <c r="A79">
        <v>31</v>
      </c>
      <c r="B79">
        <v>10004</v>
      </c>
      <c r="C79" s="6" t="s">
        <v>13</v>
      </c>
      <c r="D79" s="6" t="s">
        <v>16</v>
      </c>
      <c r="E79" s="6" t="s">
        <v>14</v>
      </c>
      <c r="F79">
        <v>-125</v>
      </c>
      <c r="G79">
        <v>-0.5</v>
      </c>
      <c r="H79" s="6" t="s">
        <v>22</v>
      </c>
      <c r="I79">
        <v>250</v>
      </c>
      <c r="J79" s="6" t="s">
        <v>17</v>
      </c>
      <c r="K79" s="1">
        <v>46131</v>
      </c>
    </row>
    <row r="80" spans="1:11" x14ac:dyDescent="0.3">
      <c r="A80">
        <v>96</v>
      </c>
      <c r="B80">
        <v>10003</v>
      </c>
      <c r="C80" s="6" t="s">
        <v>13</v>
      </c>
      <c r="D80" s="6" t="s">
        <v>16</v>
      </c>
      <c r="E80" s="6" t="s">
        <v>11</v>
      </c>
      <c r="F80">
        <v>-200</v>
      </c>
      <c r="G80">
        <v>-1</v>
      </c>
      <c r="H80" s="6" t="s">
        <v>22</v>
      </c>
      <c r="I80">
        <v>200</v>
      </c>
      <c r="J80" s="6" t="s">
        <v>17</v>
      </c>
      <c r="K80" s="1">
        <v>46160</v>
      </c>
    </row>
    <row r="81" spans="1:11" x14ac:dyDescent="0.3">
      <c r="A81">
        <v>64</v>
      </c>
      <c r="B81">
        <v>10005</v>
      </c>
      <c r="C81" s="6" t="s">
        <v>13</v>
      </c>
      <c r="D81" s="6" t="s">
        <v>16</v>
      </c>
      <c r="E81" s="6" t="s">
        <v>11</v>
      </c>
      <c r="F81">
        <v>-375</v>
      </c>
      <c r="G81">
        <v>-1.5</v>
      </c>
      <c r="H81" s="6" t="s">
        <v>22</v>
      </c>
      <c r="I81">
        <v>250</v>
      </c>
      <c r="J81" s="6" t="s">
        <v>17</v>
      </c>
      <c r="K81" s="1">
        <v>46061</v>
      </c>
    </row>
    <row r="82" spans="1:11" x14ac:dyDescent="0.3">
      <c r="A82">
        <v>81</v>
      </c>
      <c r="B82">
        <v>10004</v>
      </c>
      <c r="C82" s="6" t="s">
        <v>13</v>
      </c>
      <c r="D82" s="6" t="s">
        <v>16</v>
      </c>
      <c r="E82" s="6" t="s">
        <v>14</v>
      </c>
      <c r="F82">
        <v>-375</v>
      </c>
      <c r="G82">
        <v>-1.5</v>
      </c>
      <c r="H82" s="6" t="s">
        <v>22</v>
      </c>
      <c r="I82">
        <v>250</v>
      </c>
      <c r="J82" s="6" t="s">
        <v>17</v>
      </c>
      <c r="K82" s="1">
        <v>46030</v>
      </c>
    </row>
    <row r="83" spans="1:11" x14ac:dyDescent="0.3">
      <c r="A83">
        <v>82</v>
      </c>
      <c r="B83">
        <v>10005</v>
      </c>
      <c r="C83" s="6" t="s">
        <v>13</v>
      </c>
      <c r="D83" s="6" t="s">
        <v>10</v>
      </c>
      <c r="E83" s="6" t="s">
        <v>11</v>
      </c>
      <c r="F83">
        <v>-375</v>
      </c>
      <c r="G83">
        <v>-1.5</v>
      </c>
      <c r="H83" s="6" t="s">
        <v>22</v>
      </c>
      <c r="I83">
        <v>250</v>
      </c>
      <c r="J83" s="6" t="s">
        <v>17</v>
      </c>
      <c r="K83" s="1">
        <v>46066</v>
      </c>
    </row>
    <row r="84" spans="1:11" x14ac:dyDescent="0.3">
      <c r="A84">
        <v>90</v>
      </c>
      <c r="B84">
        <v>10002</v>
      </c>
      <c r="C84" s="6" t="s">
        <v>18</v>
      </c>
      <c r="D84" s="6" t="s">
        <v>10</v>
      </c>
      <c r="E84" s="6" t="s">
        <v>14</v>
      </c>
      <c r="F84">
        <v>500</v>
      </c>
      <c r="G84">
        <v>2.5</v>
      </c>
      <c r="H84" s="6" t="s">
        <v>21</v>
      </c>
      <c r="I84">
        <v>200</v>
      </c>
      <c r="J84" s="6" t="s">
        <v>12</v>
      </c>
      <c r="K84" s="1">
        <v>46076</v>
      </c>
    </row>
    <row r="85" spans="1:11" x14ac:dyDescent="0.3">
      <c r="A85">
        <v>50</v>
      </c>
      <c r="B85">
        <v>10002</v>
      </c>
      <c r="C85" s="6" t="s">
        <v>18</v>
      </c>
      <c r="D85" s="6" t="s">
        <v>16</v>
      </c>
      <c r="E85" s="6" t="s">
        <v>14</v>
      </c>
      <c r="F85">
        <v>375</v>
      </c>
      <c r="G85">
        <v>1.5</v>
      </c>
      <c r="H85" s="6" t="s">
        <v>22</v>
      </c>
      <c r="I85">
        <v>250</v>
      </c>
      <c r="J85" s="6" t="s">
        <v>12</v>
      </c>
      <c r="K85" s="1">
        <v>46144</v>
      </c>
    </row>
    <row r="86" spans="1:11" x14ac:dyDescent="0.3">
      <c r="A86">
        <v>91</v>
      </c>
      <c r="B86">
        <v>10003</v>
      </c>
      <c r="C86" s="6" t="s">
        <v>18</v>
      </c>
      <c r="D86" s="6" t="s">
        <v>10</v>
      </c>
      <c r="E86" s="6" t="s">
        <v>14</v>
      </c>
      <c r="F86">
        <v>300</v>
      </c>
      <c r="G86">
        <v>1.5</v>
      </c>
      <c r="H86" s="6" t="s">
        <v>22</v>
      </c>
      <c r="I86">
        <v>200</v>
      </c>
      <c r="J86" s="6" t="s">
        <v>12</v>
      </c>
      <c r="K86" s="1">
        <v>46177</v>
      </c>
    </row>
    <row r="87" spans="1:11" x14ac:dyDescent="0.3">
      <c r="A87">
        <v>28</v>
      </c>
      <c r="B87">
        <v>10002</v>
      </c>
      <c r="C87" s="6" t="s">
        <v>18</v>
      </c>
      <c r="D87" s="6" t="s">
        <v>10</v>
      </c>
      <c r="E87" s="6" t="s">
        <v>14</v>
      </c>
      <c r="F87">
        <v>250</v>
      </c>
      <c r="G87">
        <v>2.5</v>
      </c>
      <c r="H87" s="6" t="s">
        <v>21</v>
      </c>
      <c r="I87">
        <v>100</v>
      </c>
      <c r="J87" s="6" t="s">
        <v>12</v>
      </c>
      <c r="K87" s="1">
        <v>46130</v>
      </c>
    </row>
    <row r="88" spans="1:11" x14ac:dyDescent="0.3">
      <c r="A88">
        <v>67</v>
      </c>
      <c r="B88">
        <v>10002</v>
      </c>
      <c r="C88" s="6" t="s">
        <v>18</v>
      </c>
      <c r="D88" s="6" t="s">
        <v>16</v>
      </c>
      <c r="E88" s="6" t="s">
        <v>14</v>
      </c>
      <c r="F88">
        <v>250</v>
      </c>
      <c r="G88">
        <v>2.5</v>
      </c>
      <c r="H88" s="6" t="s">
        <v>21</v>
      </c>
      <c r="I88">
        <v>100</v>
      </c>
      <c r="J88" s="6" t="s">
        <v>12</v>
      </c>
      <c r="K88" s="1">
        <v>46096</v>
      </c>
    </row>
    <row r="89" spans="1:11" x14ac:dyDescent="0.3">
      <c r="A89">
        <v>60</v>
      </c>
      <c r="B89">
        <v>10006</v>
      </c>
      <c r="C89" s="6" t="s">
        <v>18</v>
      </c>
      <c r="D89" s="6" t="s">
        <v>10</v>
      </c>
      <c r="E89" s="6" t="s">
        <v>14</v>
      </c>
      <c r="F89">
        <v>150</v>
      </c>
      <c r="G89">
        <v>1.5</v>
      </c>
      <c r="H89" s="6" t="s">
        <v>22</v>
      </c>
      <c r="I89">
        <v>100</v>
      </c>
      <c r="J89" s="6" t="s">
        <v>12</v>
      </c>
      <c r="K89" s="1">
        <v>46158</v>
      </c>
    </row>
    <row r="90" spans="1:11" x14ac:dyDescent="0.3">
      <c r="A90">
        <v>41</v>
      </c>
      <c r="B90">
        <v>10003</v>
      </c>
      <c r="C90" s="6" t="s">
        <v>18</v>
      </c>
      <c r="D90" s="6" t="s">
        <v>10</v>
      </c>
      <c r="E90" s="6" t="s">
        <v>14</v>
      </c>
      <c r="F90">
        <v>100</v>
      </c>
      <c r="G90">
        <v>1</v>
      </c>
      <c r="H90" s="6" t="s">
        <v>22</v>
      </c>
      <c r="I90">
        <v>100</v>
      </c>
      <c r="J90" s="6" t="s">
        <v>12</v>
      </c>
      <c r="K90" s="1">
        <v>46197</v>
      </c>
    </row>
    <row r="91" spans="1:11" x14ac:dyDescent="0.3">
      <c r="A91">
        <v>89</v>
      </c>
      <c r="B91">
        <v>10003</v>
      </c>
      <c r="C91" s="6" t="s">
        <v>18</v>
      </c>
      <c r="D91" s="6" t="s">
        <v>16</v>
      </c>
      <c r="E91" s="6" t="s">
        <v>11</v>
      </c>
      <c r="F91">
        <v>75</v>
      </c>
      <c r="G91">
        <v>1.5</v>
      </c>
      <c r="H91" s="6" t="s">
        <v>22</v>
      </c>
      <c r="I91">
        <v>50</v>
      </c>
      <c r="J91" s="6" t="s">
        <v>12</v>
      </c>
      <c r="K91" s="1">
        <v>46167</v>
      </c>
    </row>
    <row r="92" spans="1:11" x14ac:dyDescent="0.3">
      <c r="A92">
        <v>25</v>
      </c>
      <c r="B92">
        <v>10003</v>
      </c>
      <c r="C92" s="6" t="s">
        <v>18</v>
      </c>
      <c r="D92" s="6" t="s">
        <v>10</v>
      </c>
      <c r="E92" s="6" t="s">
        <v>14</v>
      </c>
      <c r="F92">
        <v>-50</v>
      </c>
      <c r="G92">
        <v>-0.5</v>
      </c>
      <c r="H92" s="6" t="s">
        <v>22</v>
      </c>
      <c r="I92">
        <v>100</v>
      </c>
      <c r="J92" s="6" t="s">
        <v>17</v>
      </c>
      <c r="K92" s="1">
        <v>46035</v>
      </c>
    </row>
    <row r="93" spans="1:11" x14ac:dyDescent="0.3">
      <c r="A93">
        <v>9</v>
      </c>
      <c r="B93">
        <v>10006</v>
      </c>
      <c r="C93" s="6" t="s">
        <v>18</v>
      </c>
      <c r="D93" s="6" t="s">
        <v>10</v>
      </c>
      <c r="E93" s="6" t="s">
        <v>11</v>
      </c>
      <c r="F93">
        <v>-75</v>
      </c>
      <c r="G93">
        <v>-1.5</v>
      </c>
      <c r="H93" s="6" t="s">
        <v>22</v>
      </c>
      <c r="I93">
        <v>50</v>
      </c>
      <c r="J93" s="6" t="s">
        <v>17</v>
      </c>
      <c r="K93" s="1">
        <v>46121</v>
      </c>
    </row>
    <row r="94" spans="1:11" x14ac:dyDescent="0.3">
      <c r="A94">
        <v>18</v>
      </c>
      <c r="B94">
        <v>10003</v>
      </c>
      <c r="C94" s="6" t="s">
        <v>18</v>
      </c>
      <c r="D94" s="6" t="s">
        <v>10</v>
      </c>
      <c r="E94" s="6" t="s">
        <v>14</v>
      </c>
      <c r="F94">
        <v>-75</v>
      </c>
      <c r="G94">
        <v>-1.5</v>
      </c>
      <c r="H94" s="6" t="s">
        <v>22</v>
      </c>
      <c r="I94">
        <v>50</v>
      </c>
      <c r="J94" s="6" t="s">
        <v>17</v>
      </c>
      <c r="K94" s="1">
        <v>46187</v>
      </c>
    </row>
    <row r="95" spans="1:11" x14ac:dyDescent="0.3">
      <c r="A95">
        <v>44</v>
      </c>
      <c r="B95">
        <v>10005</v>
      </c>
      <c r="C95" s="6" t="s">
        <v>18</v>
      </c>
      <c r="D95" s="6" t="s">
        <v>10</v>
      </c>
      <c r="E95" s="6" t="s">
        <v>11</v>
      </c>
      <c r="F95">
        <v>-75</v>
      </c>
      <c r="G95">
        <v>-1.5</v>
      </c>
      <c r="H95" s="6" t="s">
        <v>22</v>
      </c>
      <c r="I95">
        <v>50</v>
      </c>
      <c r="J95" s="6" t="s">
        <v>17</v>
      </c>
      <c r="K95" s="1">
        <v>46190</v>
      </c>
    </row>
    <row r="96" spans="1:11" x14ac:dyDescent="0.3">
      <c r="A96">
        <v>19</v>
      </c>
      <c r="B96">
        <v>10001</v>
      </c>
      <c r="C96" s="6" t="s">
        <v>18</v>
      </c>
      <c r="D96" s="6" t="s">
        <v>16</v>
      </c>
      <c r="E96" s="6" t="s">
        <v>14</v>
      </c>
      <c r="F96">
        <v>-100</v>
      </c>
      <c r="G96">
        <v>-1</v>
      </c>
      <c r="H96" s="6" t="s">
        <v>22</v>
      </c>
      <c r="I96">
        <v>100</v>
      </c>
      <c r="J96" s="6" t="s">
        <v>17</v>
      </c>
      <c r="K96" s="1">
        <v>46180</v>
      </c>
    </row>
    <row r="97" spans="1:11" x14ac:dyDescent="0.3">
      <c r="A97">
        <v>56</v>
      </c>
      <c r="B97">
        <v>10004</v>
      </c>
      <c r="C97" s="6" t="s">
        <v>18</v>
      </c>
      <c r="D97" s="6" t="s">
        <v>16</v>
      </c>
      <c r="E97" s="6" t="s">
        <v>11</v>
      </c>
      <c r="F97">
        <v>-150</v>
      </c>
      <c r="G97">
        <v>-1.5</v>
      </c>
      <c r="H97" s="6" t="s">
        <v>22</v>
      </c>
      <c r="I97">
        <v>100</v>
      </c>
      <c r="J97" s="6" t="s">
        <v>17</v>
      </c>
      <c r="K97" s="1">
        <v>46156</v>
      </c>
    </row>
    <row r="98" spans="1:11" x14ac:dyDescent="0.3">
      <c r="A98">
        <v>11</v>
      </c>
      <c r="B98">
        <v>10001</v>
      </c>
      <c r="C98" s="6" t="s">
        <v>18</v>
      </c>
      <c r="D98" s="6" t="s">
        <v>10</v>
      </c>
      <c r="E98" s="6" t="s">
        <v>14</v>
      </c>
      <c r="F98">
        <v>-200</v>
      </c>
      <c r="G98">
        <v>-1</v>
      </c>
      <c r="H98" s="6" t="s">
        <v>22</v>
      </c>
      <c r="I98">
        <v>200</v>
      </c>
      <c r="J98" s="6" t="s">
        <v>17</v>
      </c>
      <c r="K98" s="1">
        <v>46202</v>
      </c>
    </row>
    <row r="99" spans="1:11" x14ac:dyDescent="0.3">
      <c r="A99">
        <v>51</v>
      </c>
      <c r="B99">
        <v>10003</v>
      </c>
      <c r="C99" s="6" t="s">
        <v>18</v>
      </c>
      <c r="D99" s="6" t="s">
        <v>10</v>
      </c>
      <c r="E99" s="6" t="s">
        <v>11</v>
      </c>
      <c r="F99">
        <v>-200</v>
      </c>
      <c r="G99">
        <v>-1</v>
      </c>
      <c r="H99" s="6" t="s">
        <v>22</v>
      </c>
      <c r="I99">
        <v>200</v>
      </c>
      <c r="J99" s="6" t="s">
        <v>17</v>
      </c>
      <c r="K99" s="1">
        <v>46111</v>
      </c>
    </row>
    <row r="100" spans="1:11" x14ac:dyDescent="0.3">
      <c r="A100">
        <v>42</v>
      </c>
      <c r="B100">
        <v>10002</v>
      </c>
      <c r="C100" s="6" t="s">
        <v>18</v>
      </c>
      <c r="D100" s="6" t="s">
        <v>10</v>
      </c>
      <c r="E100" s="6" t="s">
        <v>11</v>
      </c>
      <c r="F100">
        <v>-250</v>
      </c>
      <c r="G100">
        <v>-1</v>
      </c>
      <c r="H100" s="6" t="s">
        <v>22</v>
      </c>
      <c r="I100">
        <v>250</v>
      </c>
      <c r="J100" s="6" t="s">
        <v>17</v>
      </c>
      <c r="K100" s="1">
        <v>46096</v>
      </c>
    </row>
    <row r="101" spans="1:11" x14ac:dyDescent="0.3">
      <c r="A101">
        <v>58</v>
      </c>
      <c r="B101">
        <v>10005</v>
      </c>
      <c r="C101" s="6" t="s">
        <v>18</v>
      </c>
      <c r="D101" s="6" t="s">
        <v>10</v>
      </c>
      <c r="E101" s="6" t="s">
        <v>11</v>
      </c>
      <c r="F101">
        <v>-250</v>
      </c>
      <c r="G101">
        <v>-1</v>
      </c>
      <c r="H101" s="6" t="s">
        <v>22</v>
      </c>
      <c r="I101">
        <v>250</v>
      </c>
      <c r="J101" s="6" t="s">
        <v>17</v>
      </c>
      <c r="K101" s="1">
        <v>46104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1"/>
  <sheetViews>
    <sheetView workbookViewId="0">
      <selection activeCell="G15" sqref="G15"/>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sheetData>
  <conditionalFormatting sqref="A1">
    <cfRule type="duplicateValues" dxfId="37" priority="2"/>
  </conditionalFormatting>
  <conditionalFormatting sqref="A1:A1048576">
    <cfRule type="duplicateValues" dxfId="36"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PIVOT</vt:lpstr>
      <vt:lpstr>table data</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2026-09-29T16:02:04Z</dcterms:modified>
</cp:coreProperties>
</file>