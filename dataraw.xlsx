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B72F79F2-409E-4274-AC39-39D7BD76048E}" xr6:coauthVersionLast="47" xr6:coauthVersionMax="47" xr10:uidLastSave="{00000000-0000-0000-0000-000000000000}"/>
  <bookViews>
    <workbookView xWindow="-96" yWindow="0" windowWidth="12624" windowHeight="12336" activeTab="1" xr2:uid="{29389193-7256-4448-99EA-708D1049F25F}"/>
  </bookViews>
  <sheets>
    <sheet name="DASHBOARD" sheetId="15" r:id="rId1"/>
    <sheet name="charts" sheetId="16" r:id="rId2"/>
    <sheet name="PIVOT" sheetId="14" r:id="rId3"/>
    <sheet name="table data" sheetId="12" r:id="rId4"/>
    <sheet name="trading_raw_data2" sheetId="1" r:id="rId5"/>
  </sheets>
  <definedNames>
    <definedName name="ExternalData_1" localSheetId="3" hidden="1">'table data'!$A$1:$K$101</definedName>
    <definedName name="Slicer_Pair">#N/A</definedName>
    <definedName name="Slicer_Sess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<sst xmlns="http://schemas.openxmlformats.org/spreadsheetml/2006/main" count="953" uniqueCount="38">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</sst>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1">
                    <a:lumMod val="75000"/>
                  </a:schemeClr>
                </a:solidFill>
                <a:latin typeface="+mn-lt"/>
                <a:ea typeface="+mn-ea"/>
                <a:cs typeface="+mn-cs"/>
              </a:defRPr>
            </a:pPr>
            <a:r>
              <a:rPr lang="en-US" b="1">
                <a:solidFill>
                  <a:schemeClr val="accent1">
                    <a:lumMod val="75000"/>
                  </a:schemeClr>
                </a:solidFill>
              </a:rPr>
              <a:t>PROFIT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accent1">
                  <a:lumMod val="75000"/>
                </a:schemeClr>
              </a:solidFill>
              <a:latin typeface="+mn-lt"/>
              <a:ea typeface="+mn-ea"/>
              <a:cs typeface="+mn-cs"/>
            </a:defRPr>
          </a:pPr>
          <a:endParaRPr lang="en-US"/>
        </a:p>
      </c:txPr>
    </c:title>
    <c:autoTitleDeleted val="0"/>
    <c:plotArea>
      <c:layout/>
      <c:areaChart>
        <c:grouping val="percentStacked"/>
        <c:varyColors val="0"/>
        <c:ser>
          <c:idx val="0"/>
          <c:order val="0"/>
          <c:tx>
            <c:strRef>
              <c:f>charts!$C$5</c:f>
              <c:strCache>
                <c:ptCount val="1"/>
                <c:pt idx="0">
                  <c:v>profit</c:v>
                </c:pt>
              </c:strCache>
            </c:strRef>
          </c:tx>
          <c:spPr>
            <a:solidFill>
              <a:schemeClr val="tx2">
                <a:lumMod val="25000"/>
                <a:lumOff val="75000"/>
              </a:schemeClr>
            </a:solidFill>
            <a:ln>
              <a:noFill/>
            </a:ln>
            <a:effectLst/>
          </c:spPr>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D629-401F-B29E-1CE65E5FBB59}"/>
            </c:ext>
          </c:extLst>
        </c:ser>
        <c:dLbls>
          <c:showLegendKey val="0"/>
          <c:showVal val="0"/>
          <c:showCatName val="0"/>
          <c:showSerName val="0"/>
          <c:showPercent val="0"/>
          <c:showBubbleSize val="0"/>
        </c:dLbls>
        <c:axId val="197854880"/>
        <c:axId val="197850080"/>
      </c:areaChart>
      <c:catAx>
        <c:axId val="1978548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endParaRPr lang="en-US"/>
          </a:p>
        </c:txPr>
        <c:crossAx val="197850080"/>
        <c:crosses val="autoZero"/>
        <c:auto val="1"/>
        <c:lblAlgn val="ctr"/>
        <c:lblOffset val="100"/>
        <c:noMultiLvlLbl val="0"/>
      </c:catAx>
      <c:valAx>
        <c:axId val="1978500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ln cap="rnd">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headEnd type="triangle"/>
                </a:ln>
                <a:solidFill>
                  <a:schemeClr val="tx1">
                    <a:lumMod val="65000"/>
                    <a:lumOff val="35000"/>
                  </a:schemeClr>
                </a:solidFill>
                <a:latin typeface="+mn-lt"/>
                <a:ea typeface="+mn-ea"/>
                <a:cs typeface="+mn-cs"/>
              </a:defRPr>
            </a:pPr>
            <a:endParaRPr lang="en-US"/>
          </a:p>
        </c:txPr>
        <c:crossAx val="197854880"/>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205740</xdr:colOff>
      <xdr:row>3</xdr:row>
      <xdr:rowOff>121919</xdr:rowOff>
    </xdr:from>
    <xdr:to>
      <xdr:col>10</xdr:col>
      <xdr:colOff>510540</xdr:colOff>
      <xdr:row>19</xdr:row>
      <xdr:rowOff>131591</xdr:rowOff>
    </xdr:to>
    <xdr:graphicFrame macro="">
      <xdr:nvGraphicFramePr>
        <xdr:cNvPr id="2" name="Chart 1">
          <a:extLst>
            <a:ext uri="{FF2B5EF4-FFF2-40B4-BE49-F238E27FC236}">
              <a16:creationId xmlns:a16="http://schemas.microsoft.com/office/drawing/2014/main" id="{D2FC2A1B-53C8-4B88-37AD-BAC9F00324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3">
      <pivotArea collapsedLevelsAreSubtotals="1" fieldPosition="0">
        <references count="1">
          <reference field="4294967294" count="2">
            <x v="1"/>
            <x v="2"/>
          </reference>
        </references>
      </pivotArea>
    </format>
    <format dxfId="12">
      <pivotArea collapsedLevelsAreSubtotals="1" fieldPosition="0">
        <references count="1">
          <reference field="4294967294" count="1">
            <x v="1"/>
          </reference>
        </references>
      </pivotArea>
    </format>
    <format dxfId="11">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0"/>
    <tableColumn id="4" xr3:uid="{B0049864-1E12-47C0-8D45-1BD553A79BAB}" uniqueName="4" name="Session" queryTableFieldId="4" dataDxfId="9"/>
    <tableColumn id="5" xr3:uid="{B5B64422-7954-4A9C-B33D-8A5E60CB500D}" uniqueName="5" name="Direction" queryTableFieldId="5" dataDxfId="8"/>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7"/>
    <tableColumn id="9" xr3:uid="{5FB9330C-B7E2-4D0F-8CE9-5BCD5AD9DF22}" uniqueName="9" name="Profit per R" queryTableFieldId="9"/>
    <tableColumn id="10" xr3:uid="{7B07BC40-ABE4-4622-B96B-23717E82E09B}" uniqueName="10" name="Result" queryTableFieldId="10" dataDxfId="6"/>
    <tableColumn id="11" xr3:uid="{3DD01B60-6855-4A1D-9460-87483A9790C6}" uniqueName="11" name="TradeDate" queryTableFieldId="11" dataDxfId="5"/>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4">
      <calculatedColumnFormula>IF(OR(dataraw[[#This Row],[R]]&gt;=2,dataraw[[#This Row],[Profit]]&gt;500),"GOOD","REVIEW")</calculatedColumnFormula>
    </tableColumn>
    <tableColumn id="14" xr3:uid="{4778648E-2E5E-4C3F-BBFA-07AD84B520D7}" name="Profit per R" dataDxfId="3">
      <calculatedColumnFormula>IFERROR(dataraw[[#This Row],[Profit]]/dataraw[[#This Row],[R]],"0")</calculatedColumnFormula>
    </tableColumn>
    <tableColumn id="8" xr3:uid="{CC96218F-2F0A-46BB-98E4-8AE8218DB3D7}" name="Result"/>
    <tableColumn id="9" xr3:uid="{33DFF7EB-37F8-4413-89B2-47AF0ABF1AB0}" name="TradeDate" dataDxfId="2"/>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5:C9"/>
  <sheetViews>
    <sheetView tabSelected="1" workbookViewId="0">
      <selection activeCell="J1" sqref="J1"/>
    </sheetView>
  </sheetViews>
  <sheetFormatPr defaultRowHeight="14.4" x14ac:dyDescent="0.3"/>
  <cols>
    <col min="3" max="3" width="10.109375" customWidth="1"/>
  </cols>
  <sheetData>
    <row r="5" spans="2:3" x14ac:dyDescent="0.3">
      <c r="B5" s="13" t="s">
        <v>36</v>
      </c>
      <c r="C5" s="13" t="s">
        <v>37</v>
      </c>
    </row>
    <row r="6" spans="2:3" x14ac:dyDescent="0.3">
      <c r="B6" s="12" t="s">
        <v>32</v>
      </c>
      <c r="C6" s="12">
        <v>1563</v>
      </c>
    </row>
    <row r="7" spans="2:3" x14ac:dyDescent="0.3">
      <c r="B7" s="12" t="s">
        <v>33</v>
      </c>
      <c r="C7" s="12">
        <v>654</v>
      </c>
    </row>
    <row r="8" spans="2:3" x14ac:dyDescent="0.3">
      <c r="B8" s="12" t="s">
        <v>34</v>
      </c>
      <c r="C8" s="12">
        <v>-64</v>
      </c>
    </row>
    <row r="9" spans="2:3" x14ac:dyDescent="0.3">
      <c r="B9" s="12" t="s">
        <v>35</v>
      </c>
      <c r="C9" s="12">
        <v>763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charts</vt:lpstr>
      <vt:lpstr>PIVOT</vt:lpstr>
      <vt:lpstr>table data</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2026-09-30T18:10:53Z</dcterms:modified>
</cp:coreProperties>
</file>