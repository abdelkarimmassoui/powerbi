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THINKPAD\Desktop\power bi\"/>
    </mc:Choice>
  </mc:AlternateContent>
  <xr:revisionPtr revIDLastSave="0" documentId="13_ncr:1_{819F38A1-BE53-4A42-B084-53E6FB410D66}" xr6:coauthVersionLast="47" xr6:coauthVersionMax="47" xr10:uidLastSave="{00000000-0000-0000-0000-000000000000}"/>
  <bookViews>
    <workbookView xWindow="-108" yWindow="-108" windowWidth="23256" windowHeight="12456" activeTab="1" xr2:uid="{29389193-7256-4448-99EA-708D1049F25F}"/>
  </bookViews>
  <sheets>
    <sheet name="DASHBOARD" sheetId="15" r:id="rId1"/>
    <sheet name="charts" sheetId="16" r:id="rId2"/>
    <sheet name="PIVOT" sheetId="14" r:id="rId3"/>
    <sheet name="table data" sheetId="12" r:id="rId4"/>
    <sheet name="trading_raw_data2" sheetId="1" r:id="rId5"/>
  </sheets>
  <definedNames>
    <definedName name="ExternalData_1" localSheetId="3" hidden="1">'table data'!$A$1:$K$101</definedName>
    <definedName name="Slicer_Pair">#N/A</definedName>
    <definedName name="Slicer_Sess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B11" i="14"/>
  <c r="B10" i="14"/>
  <c r="B9"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5FA213-110F-44A1-92F4-A8006B122778}" keepAlive="1" name="Query - dataraw" description="Connection to the 'dataraw' query in the workbook." type="5" refreshedVersion="8" background="1" saveData="1">
    <dbPr connection="Provider=Microsoft.Mashup.OleDb.1;Data Source=$Workbook$;Location=dataraw;Extended Properties=&quot;&quot;" command="SELECT * FROM [dataraw]"/>
  </connection>
  <connection id="2" xr16:uid="{249A6A99-EAA7-4B2C-B5E3-901875700B95}" keepAlive="1" name="Query - news data" description="Connection to the 'news data' query in the workbook." type="5" refreshedVersion="8" background="1" saveData="1">
    <dbPr connection="Provider=Microsoft.Mashup.OleDb.1;Data Source=$Workbook$;Location=&quot;news data&quot;;Extended Properties=&quot;&quot;" command="SELECT * FROM [news data]"/>
  </connection>
</connections>
</file>

<file path=xl/sharedStrings.xml><?xml version="1.0" encoding="utf-8"?>
<sst xmlns="http://schemas.openxmlformats.org/spreadsheetml/2006/main" count="962" uniqueCount="47">
  <si>
    <t>TradeID</t>
  </si>
  <si>
    <t>AccountID</t>
  </si>
  <si>
    <t>Pair</t>
  </si>
  <si>
    <t>Session</t>
  </si>
  <si>
    <t>Direction</t>
  </si>
  <si>
    <t>Profit</t>
  </si>
  <si>
    <t>R</t>
  </si>
  <si>
    <t>Result</t>
  </si>
  <si>
    <t>TradeDate</t>
  </si>
  <si>
    <t>EURUSD</t>
  </si>
  <si>
    <t>London</t>
  </si>
  <si>
    <t>Sell</t>
  </si>
  <si>
    <t>Win</t>
  </si>
  <si>
    <t>US30</t>
  </si>
  <si>
    <t>Buy</t>
  </si>
  <si>
    <t>GBPUSD</t>
  </si>
  <si>
    <t>New York</t>
  </si>
  <si>
    <t>Loss</t>
  </si>
  <si>
    <t>XAUUSD</t>
  </si>
  <si>
    <t>Risk Status</t>
  </si>
  <si>
    <t>Profit per R</t>
  </si>
  <si>
    <t>Grand Total</t>
  </si>
  <si>
    <t>GOOD</t>
  </si>
  <si>
    <t>REVIEW</t>
  </si>
  <si>
    <t>Sum of Profit</t>
  </si>
  <si>
    <t>Row Labels</t>
  </si>
  <si>
    <t>Count of TradeID</t>
  </si>
  <si>
    <t>Average of Profit per R</t>
  </si>
  <si>
    <t>KPIS</t>
  </si>
  <si>
    <t>TOTAL</t>
  </si>
  <si>
    <t>AVG</t>
  </si>
  <si>
    <t>PROFIT</t>
  </si>
  <si>
    <t>eurusd</t>
  </si>
  <si>
    <t>gbpusd</t>
  </si>
  <si>
    <t>gold</t>
  </si>
  <si>
    <t>us30</t>
  </si>
  <si>
    <t>pair</t>
  </si>
  <si>
    <t>profit</t>
  </si>
  <si>
    <t>rr</t>
  </si>
  <si>
    <t>consitency</t>
  </si>
  <si>
    <t>sl</t>
  </si>
  <si>
    <t>wn</t>
  </si>
  <si>
    <t>metric</t>
  </si>
  <si>
    <t>porcentage</t>
  </si>
  <si>
    <t>chhal kyachriw glas mo9abil 7arar</t>
  </si>
  <si>
    <t>7arar</t>
  </si>
  <si>
    <t>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</si>
</sst>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6" tint="0.39997558519241921"/>
        <bgColor indexed="64"/>
      </patternFill>
    </fill>
    <fill>
      <patternFill patternType="solid">
        <fgColor theme="3"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33" borderId="0" xfId="0" applyFill="1"/>
    <xf numFmtId="14" fontId="0" fillId="33" borderId="0" xfId="0" applyNumberFormat="1" applyFill="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33" borderId="0" xfId="0" applyFill="1" applyAlignment="1">
      <alignment horizontal="left"/>
    </xf>
    <xf numFmtId="0" fontId="0" fillId="34" borderId="0" xfId="0" applyFill="1"/>
    <xf numFmtId="0" fontId="0" fillId="35" borderId="0" xfId="0" applyFill="1"/>
    <xf numFmtId="164" fontId="0" fillId="35" borderId="0" xfId="0" applyNumberFormat="1" applyFill="1"/>
    <xf numFmtId="0" fontId="0" fillId="0" borderId="10" xfId="0" applyBorder="1"/>
    <xf numFmtId="0" fontId="16" fillId="33" borderId="10" xfId="0" applyFont="1" applyFill="1" applyBorder="1"/>
    <xf numFmtId="0" fontId="0" fillId="0" borderId="0" xfId="0" applyAlignment="1">
      <alignment horizontal="center"/>
    </xf>
    <xf numFmtId="0" fontId="0" fillId="0" borderId="10" xfId="0" applyBorder="1" applyAlignment="1">
      <alignment horizontal="center"/>
    </xf>
    <xf numFmtId="0" fontId="18" fillId="0" borderId="10"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9C0006"/>
      </font>
      <fill>
        <patternFill>
          <bgColor rgb="FFFFC7CE"/>
        </patternFill>
      </fill>
    </dxf>
    <dxf>
      <font>
        <color rgb="FF9C0006"/>
      </font>
      <fill>
        <patternFill>
          <bgColor rgb="FFFFC7CE"/>
        </patternFill>
      </fil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165" formatCode="_(&quot;$&quot;* #,##0_);_(&quot;$&quot;* \(#,##0\);_(&quot;$&quot;* &quot;-&quot;??_);_(@_)"/>
    </dxf>
  </dxfs>
  <tableStyles count="1" defaultTableStyle="TableStyleMedium2" defaultPivotStyle="PivotStyleLight16">
    <tableStyle name="Slicer Style 1" pivot="0" table="0" count="3" xr9:uid="{35A627C7-23D2-4975-94D9-7FE22BAC9580}"/>
  </tableStyles>
  <extLst>
    <ext xmlns:x14="http://schemas.microsoft.com/office/spreadsheetml/2009/9/main" uri="{46F421CA-312F-682f-3DD2-61675219B42D}">
      <x14:dxfs count="3">
        <dxf>
          <fill>
            <patternFill>
              <bgColor theme="0" tint="-0.14996795556505021"/>
            </patternFill>
          </fill>
        </dxf>
        <dxf>
          <fill>
            <patternFill>
              <bgColor theme="0" tint="-0.499984740745262"/>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[dataraw.xlsx]PIVOT!PivotTable2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a:t>
            </a:r>
            <a:r>
              <a:rPr lang="en-US" baseline="0"/>
              <a:t> BY PAIR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EURUSD</c:v>
                </c:pt>
                <c:pt idx="1">
                  <c:v>GBPUSD</c:v>
                </c:pt>
                <c:pt idx="2">
                  <c:v>US30</c:v>
                </c:pt>
                <c:pt idx="3">
                  <c:v>XAUUSD</c:v>
                </c:pt>
              </c:strCache>
            </c:strRef>
          </c:cat>
          <c:val>
            <c:numRef>
              <c:f>PIVOT!$F$4:$F$8</c:f>
              <c:numCache>
                <c:formatCode>General</c:formatCode>
                <c:ptCount val="4"/>
                <c:pt idx="0">
                  <c:v>2900</c:v>
                </c:pt>
                <c:pt idx="1">
                  <c:v>6825</c:v>
                </c:pt>
                <c:pt idx="2">
                  <c:v>1925</c:v>
                </c:pt>
                <c:pt idx="3">
                  <c:v>575</c:v>
                </c:pt>
              </c:numCache>
            </c:numRef>
          </c:val>
          <c:extLst>
            <c:ext xmlns:c16="http://schemas.microsoft.com/office/drawing/2014/chart" uri="{C3380CC4-5D6E-409C-BE32-E72D297353CC}">
              <c16:uniqueId val="{00000000-3FBB-4AFE-B66B-ABE383DD6054}"/>
            </c:ext>
          </c:extLst>
        </c:ser>
        <c:dLbls>
          <c:showLegendKey val="0"/>
          <c:showVal val="0"/>
          <c:showCatName val="0"/>
          <c:showSerName val="0"/>
          <c:showPercent val="0"/>
          <c:showBubbleSize val="0"/>
        </c:dLbls>
        <c:gapWidth val="219"/>
        <c:overlap val="-27"/>
        <c:axId val="802259248"/>
        <c:axId val="802247728"/>
      </c:barChart>
      <c:catAx>
        <c:axId val="80225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247728"/>
        <c:crosses val="autoZero"/>
        <c:auto val="1"/>
        <c:lblAlgn val="ctr"/>
        <c:lblOffset val="100"/>
        <c:noMultiLvlLbl val="0"/>
      </c:catAx>
      <c:valAx>
        <c:axId val="80224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endParaRPr lang="en-US"/>
          </a:p>
        </c:txPr>
        <c:crossAx val="80225924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[dataraw.xlsx]PIVOT!PivotTable3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TRADES BY SESSION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349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34925">
            <a:solidFill>
              <a:schemeClr val="lt1"/>
            </a:solidFill>
          </a:ln>
          <a:effectLst/>
        </c:spPr>
      </c:pivotFmt>
      <c:pivotFmt>
        <c:idx val="7"/>
        <c:spPr>
          <a:solidFill>
            <a:schemeClr val="tx1">
              <a:lumMod val="50000"/>
              <a:lumOff val="50000"/>
            </a:schemeClr>
          </a:solidFill>
          <a:ln w="34925">
            <a:solidFill>
              <a:schemeClr val="lt1"/>
            </a:solidFill>
          </a:ln>
          <a:effectLst/>
        </c:spPr>
      </c:pivotFmt>
    </c:pivotFmts>
    <c:plotArea>
      <c:layout/>
      <c:pieChart>
        <c:varyColors val="1"/>
        <c:ser>
          <c:idx val="0"/>
          <c:order val="0"/>
          <c:tx>
            <c:strRef>
              <c:f>PIVOT!$I$3</c:f>
              <c:strCache>
                <c:ptCount val="1"/>
                <c:pt idx="0">
                  <c:v>Total</c:v>
                </c:pt>
              </c:strCache>
            </c:strRef>
          </c:tx>
          <c:spPr>
            <a:ln w="34925">
              <a:solidFill>
                <a:schemeClr val="lt1"/>
              </a:solidFill>
            </a:ln>
          </c:spPr>
          <c:dPt>
            <c:idx val="0"/>
            <c:bubble3D val="0"/>
            <c:spPr>
              <a:solidFill>
                <a:schemeClr val="bg1">
                  <a:lumMod val="85000"/>
                </a:schemeClr>
              </a:solidFill>
              <a:ln w="34925">
                <a:solidFill>
                  <a:schemeClr val="lt1"/>
                </a:solidFill>
              </a:ln>
              <a:effectLst/>
            </c:spPr>
            <c:extLst>
              <c:ext xmlns:c16="http://schemas.microsoft.com/office/drawing/2014/chart" uri="{C3380CC4-5D6E-409C-BE32-E72D297353CC}">
                <c16:uniqueId val="{00000001-5D32-4874-B69B-DDDFF504BF6D}"/>
              </c:ext>
            </c:extLst>
          </c:dPt>
          <c:dPt>
            <c:idx val="1"/>
            <c:bubble3D val="0"/>
            <c:spPr>
              <a:solidFill>
                <a:schemeClr val="tx1">
                  <a:lumMod val="50000"/>
                  <a:lumOff val="50000"/>
                </a:schemeClr>
              </a:solidFill>
              <a:ln w="34925">
                <a:solidFill>
                  <a:schemeClr val="lt1"/>
                </a:solidFill>
              </a:ln>
              <a:effectLst/>
            </c:spPr>
            <c:extLst>
              <c:ext xmlns:c16="http://schemas.microsoft.com/office/drawing/2014/chart" uri="{C3380CC4-5D6E-409C-BE32-E72D297353CC}">
                <c16:uniqueId val="{00000003-5D32-4874-B69B-DDDFF504BF6D}"/>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PIVOT!$H$4:$H$6</c:f>
              <c:strCache>
                <c:ptCount val="2"/>
                <c:pt idx="0">
                  <c:v>London</c:v>
                </c:pt>
                <c:pt idx="1">
                  <c:v>New York</c:v>
                </c:pt>
              </c:strCache>
            </c:strRef>
          </c:cat>
          <c:val>
            <c:numRef>
              <c:f>PIVOT!$I$4:$I$6</c:f>
              <c:numCache>
                <c:formatCode>General</c:formatCode>
                <c:ptCount val="2"/>
                <c:pt idx="0">
                  <c:v>56</c:v>
                </c:pt>
                <c:pt idx="1">
                  <c:v>44</c:v>
                </c:pt>
              </c:numCache>
            </c:numRef>
          </c:val>
          <c:extLst>
            <c:ext xmlns:c16="http://schemas.microsoft.com/office/drawing/2014/chart" uri="{C3380CC4-5D6E-409C-BE32-E72D297353CC}">
              <c16:uniqueId val="{00000004-5D32-4874-B69B-DDDFF504BF6D}"/>
            </c:ext>
          </c:extLst>
        </c:ser>
        <c:dLbls>
          <c:dLblPos val="bestFit"/>
          <c:showLegendKey val="0"/>
          <c:showVal val="1"/>
          <c:showCatName val="0"/>
          <c:showSerName val="0"/>
          <c:showPercent val="0"/>
          <c:showBubbleSize val="0"/>
          <c:showLeaderLines val="1"/>
        </c:dLbls>
        <c:firstSliceAng val="9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[dataraw.xlsx]PIVOT!PivotTable5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PIVOT!$M$3</c:f>
              <c:strCache>
                <c:ptCount val="1"/>
                <c:pt idx="0">
                  <c:v>Total</c:v>
                </c:pt>
              </c:strCache>
            </c:strRef>
          </c:tx>
          <c:spPr>
            <a:solidFill>
              <a:schemeClr val="bg1">
                <a:lumMod val="65000"/>
              </a:schemeClr>
            </a:solidFill>
            <a:ln>
              <a:noFill/>
            </a:ln>
            <a:effectLst/>
          </c:spPr>
          <c:invertIfNegative val="0"/>
          <c:cat>
            <c:strRef>
              <c:f>PIVOT!$L$4:$L$8</c:f>
              <c:strCache>
                <c:ptCount val="4"/>
                <c:pt idx="0">
                  <c:v>EURUSD</c:v>
                </c:pt>
                <c:pt idx="1">
                  <c:v>GBPUSD</c:v>
                </c:pt>
                <c:pt idx="2">
                  <c:v>US30</c:v>
                </c:pt>
                <c:pt idx="3">
                  <c:v>XAUUSD</c:v>
                </c:pt>
              </c:strCache>
            </c:strRef>
          </c:cat>
          <c:val>
            <c:numRef>
              <c:f>PIVOT!$M$4:$M$8</c:f>
              <c:numCache>
                <c:formatCode>General</c:formatCode>
                <c:ptCount val="4"/>
                <c:pt idx="0">
                  <c:v>2900</c:v>
                </c:pt>
                <c:pt idx="1">
                  <c:v>6825</c:v>
                </c:pt>
                <c:pt idx="2">
                  <c:v>1925</c:v>
                </c:pt>
                <c:pt idx="3">
                  <c:v>575</c:v>
                </c:pt>
              </c:numCache>
            </c:numRef>
          </c:val>
          <c:extLst>
            <c:ext xmlns:c16="http://schemas.microsoft.com/office/drawing/2014/chart" uri="{C3380CC4-5D6E-409C-BE32-E72D297353CC}">
              <c16:uniqueId val="{00000000-2F5B-49FB-8BA3-F8A5295734A5}"/>
            </c:ext>
          </c:extLst>
        </c:ser>
        <c:dLbls>
          <c:showLegendKey val="0"/>
          <c:showVal val="0"/>
          <c:showCatName val="0"/>
          <c:showSerName val="0"/>
          <c:showPercent val="0"/>
          <c:showBubbleSize val="0"/>
        </c:dLbls>
        <c:gapWidth val="182"/>
        <c:axId val="843195152"/>
        <c:axId val="843199952"/>
      </c:barChart>
      <c:catAx>
        <c:axId val="84319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99952"/>
        <c:crosses val="autoZero"/>
        <c:auto val="1"/>
        <c:lblAlgn val="ctr"/>
        <c:lblOffset val="100"/>
        <c:noMultiLvlLbl val="0"/>
      </c:catAx>
      <c:valAx>
        <c:axId val="84319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951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charts!$C$5</c:f>
              <c:strCache>
                <c:ptCount val="1"/>
                <c:pt idx="0">
                  <c:v>profit</c:v>
                </c:pt>
              </c:strCache>
            </c:strRef>
          </c:tx>
          <c:spPr>
            <a:solidFill>
              <a:schemeClr val="accent3"/>
            </a:solidFill>
            <a:ln>
              <a:noFill/>
            </a:ln>
            <a:effectLst/>
          </c:spPr>
          <c:invertIfNegative val="0"/>
          <c:dPt>
            <c:idx val="3"/>
            <c:invertIfNegative val="0"/>
            <c:bubble3D val="0"/>
            <c:spPr>
              <a:solidFill>
                <a:schemeClr val="accent3"/>
              </a:solidFill>
              <a:ln>
                <a:solidFill>
                  <a:schemeClr val="accent6">
                    <a:lumMod val="75000"/>
                  </a:schemeClr>
                </a:solidFill>
              </a:ln>
              <a:effectLst/>
            </c:spPr>
            <c:extLst>
              <c:ext xmlns:c16="http://schemas.microsoft.com/office/drawing/2014/chart" uri="{C3380CC4-5D6E-409C-BE32-E72D297353CC}">
                <c16:uniqueId val="{00000001-8291-4CCF-BF28-8B2DB3E5EBD5}"/>
              </c:ext>
            </c:extLst>
          </c:dPt>
          <c:cat>
            <c:strRef>
              <c:f>charts!$B$6:$B$9</c:f>
              <c:strCache>
                <c:ptCount val="4"/>
                <c:pt idx="0">
                  <c:v>eurusd</c:v>
                </c:pt>
                <c:pt idx="1">
                  <c:v>gbpusd</c:v>
                </c:pt>
                <c:pt idx="2">
                  <c:v>gold</c:v>
                </c:pt>
                <c:pt idx="3">
                  <c:v>us30</c:v>
                </c:pt>
              </c:strCache>
            </c:strRef>
          </c:cat>
          <c:val>
            <c:numRef>
              <c:f>charts!$C$6:$C$9</c:f>
              <c:numCache>
                <c:formatCode>General</c:formatCode>
                <c:ptCount val="4"/>
                <c:pt idx="0">
                  <c:v>1563</c:v>
                </c:pt>
                <c:pt idx="1">
                  <c:v>654</c:v>
                </c:pt>
                <c:pt idx="2">
                  <c:v>-64</c:v>
                </c:pt>
                <c:pt idx="3">
                  <c:v>763</c:v>
                </c:pt>
              </c:numCache>
            </c:numRef>
          </c:val>
          <c:extLst>
            <c:ext xmlns:c16="http://schemas.microsoft.com/office/drawing/2014/chart" uri="{C3380CC4-5D6E-409C-BE32-E72D297353CC}">
              <c16:uniqueId val="{00000000-8291-4CCF-BF28-8B2DB3E5EBD5}"/>
            </c:ext>
          </c:extLst>
        </c:ser>
        <c:dLbls>
          <c:showLegendKey val="0"/>
          <c:showVal val="0"/>
          <c:showCatName val="0"/>
          <c:showSerName val="0"/>
          <c:showPercent val="0"/>
          <c:showBubbleSize val="0"/>
        </c:dLbls>
        <c:gapWidth val="223"/>
        <c:overlap val="37"/>
        <c:axId val="197859680"/>
        <c:axId val="197863520"/>
      </c:barChart>
      <c:catAx>
        <c:axId val="197859680"/>
        <c:scaling>
          <c:orientation val="minMax"/>
        </c:scaling>
        <c:delete val="0"/>
        <c:axPos val="l"/>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3520"/>
        <c:crosses val="autoZero"/>
        <c:auto val="1"/>
        <c:lblAlgn val="ctr"/>
        <c:lblOffset val="1000"/>
        <c:tickMarkSkip val="20"/>
        <c:noMultiLvlLbl val="0"/>
      </c:catAx>
      <c:valAx>
        <c:axId val="197863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785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charts!$N$4</c:f>
              <c:strCache>
                <c:ptCount val="1"/>
                <c:pt idx="0">
                  <c:v>porcentage</c:v>
                </c:pt>
              </c:strCache>
            </c:strRef>
          </c:tx>
          <c:spPr>
            <a:ln w="28575" cap="rnd">
              <a:solidFill>
                <a:schemeClr val="accent3">
                  <a:lumMod val="60000"/>
                  <a:lumOff val="40000"/>
                </a:schemeClr>
              </a:solidFill>
              <a:round/>
            </a:ln>
            <a:effectLst/>
          </c:spPr>
          <c:marker>
            <c:symbol val="none"/>
          </c:marker>
          <c:cat>
            <c:strRef>
              <c:f>charts!$M$5:$M$8</c:f>
              <c:strCache>
                <c:ptCount val="4"/>
                <c:pt idx="0">
                  <c:v>rr</c:v>
                </c:pt>
                <c:pt idx="1">
                  <c:v>consitency</c:v>
                </c:pt>
                <c:pt idx="2">
                  <c:v>sl</c:v>
                </c:pt>
                <c:pt idx="3">
                  <c:v>wn</c:v>
                </c:pt>
              </c:strCache>
            </c:strRef>
          </c:cat>
          <c:val>
            <c:numRef>
              <c:f>charts!$N$5:$N$8</c:f>
              <c:numCache>
                <c:formatCode>General</c:formatCode>
                <c:ptCount val="4"/>
                <c:pt idx="0">
                  <c:v>100</c:v>
                </c:pt>
                <c:pt idx="1">
                  <c:v>54</c:v>
                </c:pt>
                <c:pt idx="2">
                  <c:v>100</c:v>
                </c:pt>
                <c:pt idx="3">
                  <c:v>60</c:v>
                </c:pt>
              </c:numCache>
            </c:numRef>
          </c:val>
          <c:extLst>
            <c:ext xmlns:c16="http://schemas.microsoft.com/office/drawing/2014/chart" uri="{C3380CC4-5D6E-409C-BE32-E72D297353CC}">
              <c16:uniqueId val="{00000000-6E9A-46E0-9D3E-451F7A5753E0}"/>
            </c:ext>
          </c:extLst>
        </c:ser>
        <c:dLbls>
          <c:showLegendKey val="0"/>
          <c:showVal val="0"/>
          <c:showCatName val="0"/>
          <c:showSerName val="0"/>
          <c:showPercent val="0"/>
          <c:showBubbleSize val="0"/>
        </c:dLbls>
        <c:axId val="59812800"/>
        <c:axId val="119017552"/>
      </c:radarChart>
      <c:catAx>
        <c:axId val="598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3">
                    <a:lumMod val="75000"/>
                  </a:schemeClr>
                </a:solidFill>
                <a:latin typeface="+mn-lt"/>
                <a:ea typeface="+mn-ea"/>
                <a:cs typeface="+mn-cs"/>
              </a:defRPr>
            </a:pPr>
            <a:endParaRPr lang="en-US"/>
          </a:p>
        </c:txPr>
        <c:crossAx val="119017552"/>
        <c:crosses val="autoZero"/>
        <c:auto val="1"/>
        <c:lblAlgn val="ctr"/>
        <c:lblOffset val="100"/>
        <c:noMultiLvlLbl val="0"/>
      </c:catAx>
      <c:valAx>
        <c:axId val="1190175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81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scatter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3">
                  <a:lumMod val="60000"/>
                  <a:lumOff val="40000"/>
                </a:schemeClr>
              </a:solidFill>
              <a:ln w="38100">
                <a:solidFill>
                  <a:schemeClr val="accent1"/>
                </a:solidFill>
              </a:ln>
              <a:effectLst/>
            </c:spPr>
          </c:marker>
          <c:trendline>
            <c:spPr>
              <a:ln w="19050" cap="rnd">
                <a:solidFill>
                  <a:schemeClr val="accent1"/>
                </a:solidFill>
                <a:prstDash val="sysDot"/>
              </a:ln>
              <a:effectLst/>
            </c:spPr>
            <c:trendlineType val="linear"/>
            <c:dispRSqr val="0"/>
            <c:dispEq val="0"/>
          </c:trendline>
          <c:xVal>
            <c:numRef>
              <c:f>charts!$U$8:$U$14</c:f>
              <c:numCache>
                <c:formatCode>General</c:formatCode>
                <c:ptCount val="7"/>
                <c:pt idx="0">
                  <c:v>10</c:v>
                </c:pt>
                <c:pt idx="1">
                  <c:v>12</c:v>
                </c:pt>
                <c:pt idx="2">
                  <c:v>14</c:v>
                </c:pt>
                <c:pt idx="3">
                  <c:v>17</c:v>
                </c:pt>
                <c:pt idx="4">
                  <c:v>20</c:v>
                </c:pt>
                <c:pt idx="5">
                  <c:v>24</c:v>
                </c:pt>
                <c:pt idx="6">
                  <c:v>29</c:v>
                </c:pt>
              </c:numCache>
            </c:numRef>
          </c:xVal>
          <c:yVal>
            <c:numRef>
              <c:f>charts!$V$8:$V$14</c:f>
              <c:numCache>
                <c:formatCode>General</c:formatCode>
                <c:ptCount val="7"/>
                <c:pt idx="0">
                  <c:v>189</c:v>
                </c:pt>
                <c:pt idx="1">
                  <c:v>190</c:v>
                </c:pt>
                <c:pt idx="2">
                  <c:v>199</c:v>
                </c:pt>
                <c:pt idx="3">
                  <c:v>203</c:v>
                </c:pt>
                <c:pt idx="4">
                  <c:v>233</c:v>
                </c:pt>
                <c:pt idx="5">
                  <c:v>300</c:v>
                </c:pt>
                <c:pt idx="6">
                  <c:v>379</c:v>
                </c:pt>
              </c:numCache>
            </c:numRef>
          </c:yVal>
          <c:smooth val="0"/>
          <c:extLst>
            <c:ext xmlns:c16="http://schemas.microsoft.com/office/drawing/2014/chart" uri="{C3380CC4-5D6E-409C-BE32-E72D297353CC}">
              <c16:uniqueId val="{00000000-3B3C-44A3-AF1D-BFA074AB5702}"/>
            </c:ext>
          </c:extLst>
        </c:ser>
        <c:dLbls>
          <c:showLegendKey val="0"/>
          <c:showVal val="0"/>
          <c:showCatName val="0"/>
          <c:showSerName val="0"/>
          <c:showPercent val="0"/>
          <c:showBubbleSize val="0"/>
        </c:dLbls>
        <c:axId val="131475120"/>
        <c:axId val="131475600"/>
      </c:scatterChart>
      <c:valAx>
        <c:axId val="13147512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75600"/>
        <c:crosses val="autoZero"/>
        <c:crossBetween val="midCat"/>
      </c:valAx>
      <c:valAx>
        <c:axId val="13147560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75120"/>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[dataraw.xlsx]PIVOT!PivotTable5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PIVOT!$M$3</c:f>
              <c:strCache>
                <c:ptCount val="1"/>
                <c:pt idx="0">
                  <c:v>Total</c:v>
                </c:pt>
              </c:strCache>
            </c:strRef>
          </c:tx>
          <c:spPr>
            <a:solidFill>
              <a:schemeClr val="accent1"/>
            </a:solidFill>
            <a:ln>
              <a:noFill/>
            </a:ln>
            <a:effectLst/>
          </c:spPr>
          <c:invertIfNegative val="0"/>
          <c:cat>
            <c:strRef>
              <c:f>PIVOT!$L$4:$L$8</c:f>
              <c:strCache>
                <c:ptCount val="4"/>
                <c:pt idx="0">
                  <c:v>EURUSD</c:v>
                </c:pt>
                <c:pt idx="1">
                  <c:v>GBPUSD</c:v>
                </c:pt>
                <c:pt idx="2">
                  <c:v>US30</c:v>
                </c:pt>
                <c:pt idx="3">
                  <c:v>XAUUSD</c:v>
                </c:pt>
              </c:strCache>
            </c:strRef>
          </c:cat>
          <c:val>
            <c:numRef>
              <c:f>PIVOT!$M$4:$M$8</c:f>
              <c:numCache>
                <c:formatCode>General</c:formatCode>
                <c:ptCount val="4"/>
                <c:pt idx="0">
                  <c:v>2900</c:v>
                </c:pt>
                <c:pt idx="1">
                  <c:v>6825</c:v>
                </c:pt>
                <c:pt idx="2">
                  <c:v>1925</c:v>
                </c:pt>
                <c:pt idx="3">
                  <c:v>575</c:v>
                </c:pt>
              </c:numCache>
            </c:numRef>
          </c:val>
          <c:extLst>
            <c:ext xmlns:c16="http://schemas.microsoft.com/office/drawing/2014/chart" uri="{C3380CC4-5D6E-409C-BE32-E72D297353CC}">
              <c16:uniqueId val="{00000000-703A-4536-A1B1-966DD6364A78}"/>
            </c:ext>
          </c:extLst>
        </c:ser>
        <c:dLbls>
          <c:showLegendKey val="0"/>
          <c:showVal val="0"/>
          <c:showCatName val="0"/>
          <c:showSerName val="0"/>
          <c:showPercent val="0"/>
          <c:showBubbleSize val="0"/>
        </c:dLbls>
        <c:gapWidth val="182"/>
        <c:axId val="843195152"/>
        <c:axId val="843199952"/>
      </c:barChart>
      <c:catAx>
        <c:axId val="84319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99952"/>
        <c:crosses val="autoZero"/>
        <c:auto val="1"/>
        <c:lblAlgn val="ctr"/>
        <c:lblOffset val="100"/>
        <c:noMultiLvlLbl val="0"/>
      </c:catAx>
      <c:valAx>
        <c:axId val="843199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9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0</xdr:rowOff>
    </xdr:from>
    <xdr:to>
      <xdr:col>17</xdr:col>
      <xdr:colOff>548640</xdr:colOff>
      <xdr:row>27</xdr:row>
      <xdr:rowOff>22860</xdr:rowOff>
    </xdr:to>
    <xdr:sp macro="" textlink="">
      <xdr:nvSpPr>
        <xdr:cNvPr id="2" name="Rectangle: Rounded Corners 1">
          <a:extLst>
            <a:ext uri="{FF2B5EF4-FFF2-40B4-BE49-F238E27FC236}">
              <a16:creationId xmlns:a16="http://schemas.microsoft.com/office/drawing/2014/main" id="{595AFF68-A274-B60F-52F8-D6E773045AB5}"/>
            </a:ext>
          </a:extLst>
        </xdr:cNvPr>
        <xdr:cNvSpPr/>
      </xdr:nvSpPr>
      <xdr:spPr>
        <a:xfrm>
          <a:off x="45720" y="0"/>
          <a:ext cx="10866120" cy="496062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548640</xdr:colOff>
      <xdr:row>0</xdr:row>
      <xdr:rowOff>160020</xdr:rowOff>
    </xdr:from>
    <xdr:to>
      <xdr:col>17</xdr:col>
      <xdr:colOff>76200</xdr:colOff>
      <xdr:row>4</xdr:row>
      <xdr:rowOff>129540</xdr:rowOff>
    </xdr:to>
    <xdr:sp macro="" textlink="">
      <xdr:nvSpPr>
        <xdr:cNvPr id="3" name="Rectangle: Rounded Corners 2">
          <a:extLst>
            <a:ext uri="{FF2B5EF4-FFF2-40B4-BE49-F238E27FC236}">
              <a16:creationId xmlns:a16="http://schemas.microsoft.com/office/drawing/2014/main" id="{32B31ED8-8EE1-AF01-B077-1529E9BE4A35}"/>
            </a:ext>
          </a:extLst>
        </xdr:cNvPr>
        <xdr:cNvSpPr/>
      </xdr:nvSpPr>
      <xdr:spPr>
        <a:xfrm>
          <a:off x="1158240" y="160020"/>
          <a:ext cx="9281160" cy="701040"/>
        </a:xfrm>
        <a:prstGeom prst="roundRect">
          <a:avLst/>
        </a:prstGeom>
        <a:solidFill>
          <a:schemeClr val="bg1">
            <a:lumMod val="85000"/>
          </a:schemeClr>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152400</xdr:colOff>
      <xdr:row>1</xdr:row>
      <xdr:rowOff>41910</xdr:rowOff>
    </xdr:from>
    <xdr:to>
      <xdr:col>13</xdr:col>
      <xdr:colOff>472440</xdr:colOff>
      <xdr:row>4</xdr:row>
      <xdr:rowOff>64770</xdr:rowOff>
    </xdr:to>
    <xdr:sp macro="" textlink="">
      <xdr:nvSpPr>
        <xdr:cNvPr id="5" name="TextBox 4">
          <a:extLst>
            <a:ext uri="{FF2B5EF4-FFF2-40B4-BE49-F238E27FC236}">
              <a16:creationId xmlns:a16="http://schemas.microsoft.com/office/drawing/2014/main" id="{6E240D7F-4E12-F77B-9763-432B8A76CC7C}"/>
            </a:ext>
          </a:extLst>
        </xdr:cNvPr>
        <xdr:cNvSpPr txBox="1"/>
      </xdr:nvSpPr>
      <xdr:spPr>
        <a:xfrm>
          <a:off x="3200400" y="224790"/>
          <a:ext cx="51968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t>TRADING PERFORMNANCE</a:t>
          </a:r>
        </a:p>
        <a:p>
          <a:pPr algn="ctr"/>
          <a:endParaRPr lang="en-US" sz="3200"/>
        </a:p>
      </xdr:txBody>
    </xdr:sp>
    <xdr:clientData/>
  </xdr:twoCellAnchor>
  <xdr:twoCellAnchor>
    <xdr:from>
      <xdr:col>1</xdr:col>
      <xdr:colOff>548640</xdr:colOff>
      <xdr:row>5</xdr:row>
      <xdr:rowOff>99060</xdr:rowOff>
    </xdr:from>
    <xdr:to>
      <xdr:col>6</xdr:col>
      <xdr:colOff>167640</xdr:colOff>
      <xdr:row>9</xdr:row>
      <xdr:rowOff>152400</xdr:rowOff>
    </xdr:to>
    <xdr:sp macro="" textlink="">
      <xdr:nvSpPr>
        <xdr:cNvPr id="6" name="Rectangle: Rounded Corners 5">
          <a:extLst>
            <a:ext uri="{FF2B5EF4-FFF2-40B4-BE49-F238E27FC236}">
              <a16:creationId xmlns:a16="http://schemas.microsoft.com/office/drawing/2014/main" id="{493E3B11-96A2-F6CB-F232-CA08C4B5B65A}"/>
            </a:ext>
          </a:extLst>
        </xdr:cNvPr>
        <xdr:cNvSpPr/>
      </xdr:nvSpPr>
      <xdr:spPr>
        <a:xfrm>
          <a:off x="1158240" y="1013460"/>
          <a:ext cx="2667000" cy="784860"/>
        </a:xfrm>
        <a:prstGeom prst="round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481965</xdr:colOff>
      <xdr:row>5</xdr:row>
      <xdr:rowOff>152400</xdr:rowOff>
    </xdr:from>
    <xdr:to>
      <xdr:col>5</xdr:col>
      <xdr:colOff>234315</xdr:colOff>
      <xdr:row>7</xdr:row>
      <xdr:rowOff>129540</xdr:rowOff>
    </xdr:to>
    <xdr:sp macro="" textlink="">
      <xdr:nvSpPr>
        <xdr:cNvPr id="9" name="TextBox 8">
          <a:extLst>
            <a:ext uri="{FF2B5EF4-FFF2-40B4-BE49-F238E27FC236}">
              <a16:creationId xmlns:a16="http://schemas.microsoft.com/office/drawing/2014/main" id="{C87CDFD3-73E8-14C1-1E20-5083B1583251}"/>
            </a:ext>
          </a:extLst>
        </xdr:cNvPr>
        <xdr:cNvSpPr txBox="1"/>
      </xdr:nvSpPr>
      <xdr:spPr>
        <a:xfrm>
          <a:off x="1701165" y="1066800"/>
          <a:ext cx="1581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TRADES</a:t>
          </a:r>
          <a:endParaRPr lang="en-US" sz="1600" b="1"/>
        </a:p>
      </xdr:txBody>
    </xdr:sp>
    <xdr:clientData/>
  </xdr:twoCellAnchor>
  <xdr:twoCellAnchor>
    <xdr:from>
      <xdr:col>2</xdr:col>
      <xdr:colOff>305753</xdr:colOff>
      <xdr:row>7</xdr:row>
      <xdr:rowOff>45720</xdr:rowOff>
    </xdr:from>
    <xdr:to>
      <xdr:col>5</xdr:col>
      <xdr:colOff>410528</xdr:colOff>
      <xdr:row>9</xdr:row>
      <xdr:rowOff>167640</xdr:rowOff>
    </xdr:to>
    <xdr:sp macro="" textlink="PIVOT!B9">
      <xdr:nvSpPr>
        <xdr:cNvPr id="10" name="TextBox 9">
          <a:extLst>
            <a:ext uri="{FF2B5EF4-FFF2-40B4-BE49-F238E27FC236}">
              <a16:creationId xmlns:a16="http://schemas.microsoft.com/office/drawing/2014/main" id="{BE2E20AB-4288-CFFB-9382-B1B8AA595EFA}"/>
            </a:ext>
          </a:extLst>
        </xdr:cNvPr>
        <xdr:cNvSpPr txBox="1"/>
      </xdr:nvSpPr>
      <xdr:spPr>
        <a:xfrm>
          <a:off x="1524953" y="1325880"/>
          <a:ext cx="1933575"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DB22FF-2F5C-4ACF-8D95-87D86950F675}" type="TxLink">
            <a:rPr lang="en-US" sz="3200" b="1" i="0" u="none" strike="noStrike">
              <a:solidFill>
                <a:schemeClr val="bg1">
                  <a:lumMod val="65000"/>
                </a:schemeClr>
              </a:solidFill>
              <a:latin typeface="Aptos Narrow"/>
            </a:rPr>
            <a:pPr algn="ctr"/>
            <a:t>100</a:t>
          </a:fld>
          <a:endParaRPr lang="en-US" sz="3200" b="1">
            <a:solidFill>
              <a:schemeClr val="bg1">
                <a:lumMod val="65000"/>
              </a:schemeClr>
            </a:solidFill>
          </a:endParaRPr>
        </a:p>
      </xdr:txBody>
    </xdr:sp>
    <xdr:clientData/>
  </xdr:twoCellAnchor>
  <xdr:twoCellAnchor>
    <xdr:from>
      <xdr:col>7</xdr:col>
      <xdr:colOff>304800</xdr:colOff>
      <xdr:row>5</xdr:row>
      <xdr:rowOff>99060</xdr:rowOff>
    </xdr:from>
    <xdr:to>
      <xdr:col>11</xdr:col>
      <xdr:colOff>533400</xdr:colOff>
      <xdr:row>9</xdr:row>
      <xdr:rowOff>152400</xdr:rowOff>
    </xdr:to>
    <xdr:sp macro="" textlink="">
      <xdr:nvSpPr>
        <xdr:cNvPr id="11" name="Rectangle: Rounded Corners 10">
          <a:extLst>
            <a:ext uri="{FF2B5EF4-FFF2-40B4-BE49-F238E27FC236}">
              <a16:creationId xmlns:a16="http://schemas.microsoft.com/office/drawing/2014/main" id="{F502EF03-1C68-7B33-75D2-B55C0FC07762}"/>
            </a:ext>
          </a:extLst>
        </xdr:cNvPr>
        <xdr:cNvSpPr/>
      </xdr:nvSpPr>
      <xdr:spPr>
        <a:xfrm>
          <a:off x="4572000" y="1013460"/>
          <a:ext cx="2667000" cy="784860"/>
        </a:xfrm>
        <a:prstGeom prst="round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238125</xdr:colOff>
      <xdr:row>5</xdr:row>
      <xdr:rowOff>152400</xdr:rowOff>
    </xdr:from>
    <xdr:to>
      <xdr:col>10</xdr:col>
      <xdr:colOff>600075</xdr:colOff>
      <xdr:row>7</xdr:row>
      <xdr:rowOff>129540</xdr:rowOff>
    </xdr:to>
    <xdr:sp macro="" textlink="">
      <xdr:nvSpPr>
        <xdr:cNvPr id="12" name="TextBox 11">
          <a:extLst>
            <a:ext uri="{FF2B5EF4-FFF2-40B4-BE49-F238E27FC236}">
              <a16:creationId xmlns:a16="http://schemas.microsoft.com/office/drawing/2014/main" id="{794D62D6-B495-8299-9EFA-E585B88B4AEA}"/>
            </a:ext>
          </a:extLst>
        </xdr:cNvPr>
        <xdr:cNvSpPr txBox="1"/>
      </xdr:nvSpPr>
      <xdr:spPr>
        <a:xfrm>
          <a:off x="5114925" y="1066800"/>
          <a:ext cx="1581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AVG . R</a:t>
          </a:r>
        </a:p>
      </xdr:txBody>
    </xdr:sp>
    <xdr:clientData/>
  </xdr:twoCellAnchor>
  <xdr:twoCellAnchor>
    <xdr:from>
      <xdr:col>8</xdr:col>
      <xdr:colOff>61913</xdr:colOff>
      <xdr:row>7</xdr:row>
      <xdr:rowOff>45720</xdr:rowOff>
    </xdr:from>
    <xdr:to>
      <xdr:col>11</xdr:col>
      <xdr:colOff>166688</xdr:colOff>
      <xdr:row>9</xdr:row>
      <xdr:rowOff>167640</xdr:rowOff>
    </xdr:to>
    <xdr:sp macro="" textlink="PIVOT!B10">
      <xdr:nvSpPr>
        <xdr:cNvPr id="13" name="TextBox 12">
          <a:extLst>
            <a:ext uri="{FF2B5EF4-FFF2-40B4-BE49-F238E27FC236}">
              <a16:creationId xmlns:a16="http://schemas.microsoft.com/office/drawing/2014/main" id="{5F8CBFDB-BC77-2D59-8998-A2536511D312}"/>
            </a:ext>
          </a:extLst>
        </xdr:cNvPr>
        <xdr:cNvSpPr txBox="1"/>
      </xdr:nvSpPr>
      <xdr:spPr>
        <a:xfrm>
          <a:off x="4938713" y="1325880"/>
          <a:ext cx="1933575"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46A27E-4643-4C55-A8FE-59E456BC2E1C}" type="TxLink">
            <a:rPr lang="en-US" sz="3200" b="1" i="0" u="none" strike="noStrike">
              <a:solidFill>
                <a:schemeClr val="bg1">
                  <a:lumMod val="65000"/>
                </a:schemeClr>
              </a:solidFill>
              <a:latin typeface="Aptos Narrow"/>
              <a:ea typeface="+mn-ea"/>
              <a:cs typeface="+mn-cs"/>
            </a:rPr>
            <a:pPr marL="0" indent="0" algn="ctr"/>
            <a:t>147</a:t>
          </a:fld>
          <a:endParaRPr lang="en-US" sz="3200" b="1" i="0" u="none" strike="noStrike">
            <a:solidFill>
              <a:schemeClr val="bg1">
                <a:lumMod val="65000"/>
              </a:schemeClr>
            </a:solidFill>
            <a:latin typeface="Aptos Narrow"/>
            <a:ea typeface="+mn-ea"/>
            <a:cs typeface="+mn-cs"/>
          </a:endParaRPr>
        </a:p>
      </xdr:txBody>
    </xdr:sp>
    <xdr:clientData/>
  </xdr:twoCellAnchor>
  <xdr:twoCellAnchor>
    <xdr:from>
      <xdr:col>12</xdr:col>
      <xdr:colOff>472440</xdr:colOff>
      <xdr:row>5</xdr:row>
      <xdr:rowOff>99060</xdr:rowOff>
    </xdr:from>
    <xdr:to>
      <xdr:col>17</xdr:col>
      <xdr:colOff>91440</xdr:colOff>
      <xdr:row>9</xdr:row>
      <xdr:rowOff>152400</xdr:rowOff>
    </xdr:to>
    <xdr:sp macro="" textlink="">
      <xdr:nvSpPr>
        <xdr:cNvPr id="14" name="Rectangle: Rounded Corners 13">
          <a:extLst>
            <a:ext uri="{FF2B5EF4-FFF2-40B4-BE49-F238E27FC236}">
              <a16:creationId xmlns:a16="http://schemas.microsoft.com/office/drawing/2014/main" id="{6D694F14-A807-B733-6FBE-246DA4D97D65}"/>
            </a:ext>
          </a:extLst>
        </xdr:cNvPr>
        <xdr:cNvSpPr/>
      </xdr:nvSpPr>
      <xdr:spPr>
        <a:xfrm>
          <a:off x="7787640" y="1013460"/>
          <a:ext cx="2667000" cy="784860"/>
        </a:xfrm>
        <a:prstGeom prst="round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405765</xdr:colOff>
      <xdr:row>5</xdr:row>
      <xdr:rowOff>152400</xdr:rowOff>
    </xdr:from>
    <xdr:to>
      <xdr:col>16</xdr:col>
      <xdr:colOff>158115</xdr:colOff>
      <xdr:row>7</xdr:row>
      <xdr:rowOff>129540</xdr:rowOff>
    </xdr:to>
    <xdr:sp macro="" textlink="">
      <xdr:nvSpPr>
        <xdr:cNvPr id="15" name="TextBox 14">
          <a:extLst>
            <a:ext uri="{FF2B5EF4-FFF2-40B4-BE49-F238E27FC236}">
              <a16:creationId xmlns:a16="http://schemas.microsoft.com/office/drawing/2014/main" id="{0AC9144A-22B2-11AD-3ED9-CEAA0682A514}"/>
            </a:ext>
          </a:extLst>
        </xdr:cNvPr>
        <xdr:cNvSpPr txBox="1"/>
      </xdr:nvSpPr>
      <xdr:spPr>
        <a:xfrm>
          <a:off x="8330565" y="1066800"/>
          <a:ext cx="1581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PROFIT</a:t>
          </a:r>
        </a:p>
      </xdr:txBody>
    </xdr:sp>
    <xdr:clientData/>
  </xdr:twoCellAnchor>
  <xdr:twoCellAnchor>
    <xdr:from>
      <xdr:col>13</xdr:col>
      <xdr:colOff>229553</xdr:colOff>
      <xdr:row>7</xdr:row>
      <xdr:rowOff>45720</xdr:rowOff>
    </xdr:from>
    <xdr:to>
      <xdr:col>16</xdr:col>
      <xdr:colOff>334328</xdr:colOff>
      <xdr:row>9</xdr:row>
      <xdr:rowOff>167640</xdr:rowOff>
    </xdr:to>
    <xdr:sp macro="" textlink="PIVOT!B11">
      <xdr:nvSpPr>
        <xdr:cNvPr id="16" name="TextBox 15">
          <a:extLst>
            <a:ext uri="{FF2B5EF4-FFF2-40B4-BE49-F238E27FC236}">
              <a16:creationId xmlns:a16="http://schemas.microsoft.com/office/drawing/2014/main" id="{B24AE9FE-1AEE-8681-D35F-8FF517A17CC7}"/>
            </a:ext>
          </a:extLst>
        </xdr:cNvPr>
        <xdr:cNvSpPr txBox="1"/>
      </xdr:nvSpPr>
      <xdr:spPr>
        <a:xfrm>
          <a:off x="8154353" y="1325880"/>
          <a:ext cx="1933575"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CEBDC9A-C7E5-4E7F-A364-566312B84F1C}" type="TxLink">
            <a:rPr lang="en-US" sz="3200" b="1" i="0" u="none" strike="noStrike">
              <a:solidFill>
                <a:schemeClr val="bg1">
                  <a:lumMod val="65000"/>
                </a:schemeClr>
              </a:solidFill>
              <a:latin typeface="Aptos Narrow"/>
              <a:ea typeface="+mn-ea"/>
              <a:cs typeface="+mn-cs"/>
            </a:rPr>
            <a:pPr marL="0" indent="0" algn="ctr"/>
            <a:t>$12,225.00</a:t>
          </a:fld>
          <a:endParaRPr lang="en-US" sz="3200" b="1" i="0" u="none" strike="noStrike">
            <a:solidFill>
              <a:schemeClr val="bg1">
                <a:lumMod val="65000"/>
              </a:schemeClr>
            </a:solidFill>
            <a:latin typeface="Aptos Narrow"/>
            <a:ea typeface="+mn-ea"/>
            <a:cs typeface="+mn-cs"/>
          </a:endParaRPr>
        </a:p>
      </xdr:txBody>
    </xdr:sp>
    <xdr:clientData/>
  </xdr:twoCellAnchor>
  <xdr:twoCellAnchor editAs="oneCell">
    <xdr:from>
      <xdr:col>0</xdr:col>
      <xdr:colOff>0</xdr:colOff>
      <xdr:row>1</xdr:row>
      <xdr:rowOff>15241</xdr:rowOff>
    </xdr:from>
    <xdr:to>
      <xdr:col>1</xdr:col>
      <xdr:colOff>495300</xdr:colOff>
      <xdr:row>9</xdr:row>
      <xdr:rowOff>76201</xdr:rowOff>
    </xdr:to>
    <mc:AlternateContent xmlns:mc="http://schemas.openxmlformats.org/markup-compatibility/2006" xmlns:a14="http://schemas.microsoft.com/office/drawing/2010/main">
      <mc:Choice Requires="a14">
        <xdr:graphicFrame macro="">
          <xdr:nvGraphicFramePr>
            <xdr:cNvPr id="20" name="Pair 1">
              <a:extLst>
                <a:ext uri="{FF2B5EF4-FFF2-40B4-BE49-F238E27FC236}">
                  <a16:creationId xmlns:a16="http://schemas.microsoft.com/office/drawing/2014/main" id="{C92C1689-1F07-4CD8-BBB2-4847667469FF}"/>
                </a:ext>
              </a:extLst>
            </xdr:cNvPr>
            <xdr:cNvGraphicFramePr/>
          </xdr:nvGraphicFramePr>
          <xdr:xfrm>
            <a:off x="0" y="0"/>
            <a:ext cx="0" cy="0"/>
          </xdr:xfrm>
          <a:graphic>
            <a:graphicData uri="http://schemas.microsoft.com/office/drawing/2010/slicer">
              <sle:slicer xmlns:sle="http://schemas.microsoft.com/office/drawing/2010/slicer" name="Pair 1"/>
            </a:graphicData>
          </a:graphic>
        </xdr:graphicFrame>
      </mc:Choice>
      <mc:Fallback xmlns="">
        <xdr:sp macro="" textlink="">
          <xdr:nvSpPr>
            <xdr:cNvPr id="0" name=""/>
            <xdr:cNvSpPr>
              <a:spLocks noTextEdit="1"/>
            </xdr:cNvSpPr>
          </xdr:nvSpPr>
          <xdr:spPr>
            <a:xfrm>
              <a:off x="0" y="198121"/>
              <a:ext cx="11049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548640</xdr:colOff>
      <xdr:row>10</xdr:row>
      <xdr:rowOff>137160</xdr:rowOff>
    </xdr:from>
    <xdr:to>
      <xdr:col>7</xdr:col>
      <xdr:colOff>419100</xdr:colOff>
      <xdr:row>22</xdr:row>
      <xdr:rowOff>53340</xdr:rowOff>
    </xdr:to>
    <xdr:graphicFrame macro="">
      <xdr:nvGraphicFramePr>
        <xdr:cNvPr id="21" name="Chart 20">
          <a:extLst>
            <a:ext uri="{FF2B5EF4-FFF2-40B4-BE49-F238E27FC236}">
              <a16:creationId xmlns:a16="http://schemas.microsoft.com/office/drawing/2014/main" id="{39C47243-9852-44A3-AD40-CF4436CE6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487680</xdr:colOff>
      <xdr:row>10</xdr:row>
      <xdr:rowOff>152400</xdr:rowOff>
    </xdr:from>
    <xdr:to>
      <xdr:col>13</xdr:col>
      <xdr:colOff>472440</xdr:colOff>
      <xdr:row>22</xdr:row>
      <xdr:rowOff>45720</xdr:rowOff>
    </xdr:to>
    <xdr:graphicFrame macro="">
      <xdr:nvGraphicFramePr>
        <xdr:cNvPr id="22" name="Chart 21">
          <a:extLst>
            <a:ext uri="{FF2B5EF4-FFF2-40B4-BE49-F238E27FC236}">
              <a16:creationId xmlns:a16="http://schemas.microsoft.com/office/drawing/2014/main" id="{A5EDD4A9-5708-4220-A362-B5EA01F9B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xdr:row>
      <xdr:rowOff>152401</xdr:rowOff>
    </xdr:from>
    <xdr:to>
      <xdr:col>1</xdr:col>
      <xdr:colOff>495300</xdr:colOff>
      <xdr:row>17</xdr:row>
      <xdr:rowOff>106680</xdr:rowOff>
    </xdr:to>
    <mc:AlternateContent xmlns:mc="http://schemas.openxmlformats.org/markup-compatibility/2006" xmlns:a14="http://schemas.microsoft.com/office/drawing/2010/main">
      <mc:Choice Requires="a14">
        <xdr:graphicFrame macro="">
          <xdr:nvGraphicFramePr>
            <xdr:cNvPr id="23" name="Session 1">
              <a:extLst>
                <a:ext uri="{FF2B5EF4-FFF2-40B4-BE49-F238E27FC236}">
                  <a16:creationId xmlns:a16="http://schemas.microsoft.com/office/drawing/2014/main" id="{3BC9D9D7-D0E0-4C37-8271-A2E3EEEB0B1A}"/>
                </a:ext>
              </a:extLst>
            </xdr:cNvPr>
            <xdr:cNvGraphicFramePr/>
          </xdr:nvGraphicFramePr>
          <xdr:xfrm>
            <a:off x="0" y="0"/>
            <a:ext cx="0" cy="0"/>
          </xdr:xfrm>
          <a:graphic>
            <a:graphicData uri="http://schemas.microsoft.com/office/drawing/2010/slicer">
              <sle:slicer xmlns:sle="http://schemas.microsoft.com/office/drawing/2010/slicer" name="Session 1"/>
            </a:graphicData>
          </a:graphic>
        </xdr:graphicFrame>
      </mc:Choice>
      <mc:Fallback xmlns="">
        <xdr:sp macro="" textlink="">
          <xdr:nvSpPr>
            <xdr:cNvPr id="0" name=""/>
            <xdr:cNvSpPr>
              <a:spLocks noTextEdit="1"/>
            </xdr:cNvSpPr>
          </xdr:nvSpPr>
          <xdr:spPr>
            <a:xfrm>
              <a:off x="0" y="1798321"/>
              <a:ext cx="1104900" cy="1417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541020</xdr:colOff>
      <xdr:row>10</xdr:row>
      <xdr:rowOff>152400</xdr:rowOff>
    </xdr:from>
    <xdr:to>
      <xdr:col>17</xdr:col>
      <xdr:colOff>99060</xdr:colOff>
      <xdr:row>22</xdr:row>
      <xdr:rowOff>45720</xdr:rowOff>
    </xdr:to>
    <xdr:graphicFrame macro="">
      <xdr:nvGraphicFramePr>
        <xdr:cNvPr id="25" name="Chart 24">
          <a:extLst>
            <a:ext uri="{FF2B5EF4-FFF2-40B4-BE49-F238E27FC236}">
              <a16:creationId xmlns:a16="http://schemas.microsoft.com/office/drawing/2014/main" id="{09ECA8DE-8FE0-4199-93C3-BA53A90C3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3</xdr:row>
      <xdr:rowOff>144780</xdr:rowOff>
    </xdr:from>
    <xdr:to>
      <xdr:col>10</xdr:col>
      <xdr:colOff>533400</xdr:colOff>
      <xdr:row>18</xdr:row>
      <xdr:rowOff>144780</xdr:rowOff>
    </xdr:to>
    <xdr:graphicFrame macro="">
      <xdr:nvGraphicFramePr>
        <xdr:cNvPr id="3" name="Chart 2">
          <a:extLst>
            <a:ext uri="{FF2B5EF4-FFF2-40B4-BE49-F238E27FC236}">
              <a16:creationId xmlns:a16="http://schemas.microsoft.com/office/drawing/2014/main" id="{186BF6AA-6282-2A5A-16F0-F650B0CBC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xdr:colOff>
      <xdr:row>9</xdr:row>
      <xdr:rowOff>129540</xdr:rowOff>
    </xdr:from>
    <xdr:to>
      <xdr:col>16</xdr:col>
      <xdr:colOff>358140</xdr:colOff>
      <xdr:row>21</xdr:row>
      <xdr:rowOff>38100</xdr:rowOff>
    </xdr:to>
    <xdr:graphicFrame macro="">
      <xdr:nvGraphicFramePr>
        <xdr:cNvPr id="4" name="Chart 3">
          <a:extLst>
            <a:ext uri="{FF2B5EF4-FFF2-40B4-BE49-F238E27FC236}">
              <a16:creationId xmlns:a16="http://schemas.microsoft.com/office/drawing/2014/main" id="{A06DB9CF-E6A8-4D35-126C-D432CCA1D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373380</xdr:colOff>
      <xdr:row>5</xdr:row>
      <xdr:rowOff>106680</xdr:rowOff>
    </xdr:from>
    <xdr:to>
      <xdr:col>30</xdr:col>
      <xdr:colOff>251460</xdr:colOff>
      <xdr:row>22</xdr:row>
      <xdr:rowOff>60960</xdr:rowOff>
    </xdr:to>
    <xdr:graphicFrame macro="">
      <xdr:nvGraphicFramePr>
        <xdr:cNvPr id="5" name="Chart 4">
          <a:extLst>
            <a:ext uri="{FF2B5EF4-FFF2-40B4-BE49-F238E27FC236}">
              <a16:creationId xmlns:a16="http://schemas.microsoft.com/office/drawing/2014/main" id="{871B9890-1CFB-E725-7A08-8B9B8ECB0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304800</xdr:colOff>
      <xdr:row>6</xdr:row>
      <xdr:rowOff>95250</xdr:rowOff>
    </xdr:from>
    <xdr:to>
      <xdr:col>13</xdr:col>
      <xdr:colOff>281940</xdr:colOff>
      <xdr:row>21</xdr:row>
      <xdr:rowOff>95250</xdr:rowOff>
    </xdr:to>
    <xdr:graphicFrame macro="">
      <xdr:nvGraphicFramePr>
        <xdr:cNvPr id="8" name="Chart 7">
          <a:extLst>
            <a:ext uri="{FF2B5EF4-FFF2-40B4-BE49-F238E27FC236}">
              <a16:creationId xmlns:a16="http://schemas.microsoft.com/office/drawing/2014/main" id="{619C2A72-FED6-284E-30A4-58DD0E8E9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294.693410879627" createdVersion="8" refreshedVersion="8" minRefreshableVersion="3" recordCount="100" xr:uid="{B8CB5137-6E3C-4C47-BCAD-2704DE4C6D20}">
  <cacheSource type="worksheet">
    <worksheetSource name="dataraw_1"/>
  </cacheSource>
  <cacheFields count="11">
    <cacheField name="TradeID" numFmtId="0">
      <sharedItems containsSemiMixedTypes="0" containsString="0" containsNumber="1" containsInteger="1" minValue="1" maxValue="100"/>
    </cacheField>
    <cacheField name="AccountID" numFmtId="0">
      <sharedItems containsSemiMixedTypes="0" containsString="0" containsNumber="1" containsInteger="1" minValue="10001" maxValue="10006"/>
    </cacheField>
    <cacheField name="Pair" numFmtId="0">
      <sharedItems count="4">
        <s v="EURUSD"/>
        <s v="GBPUSD"/>
        <s v="US30"/>
        <s v="XAUUSD"/>
      </sharedItems>
    </cacheField>
    <cacheField name="Session" numFmtId="0">
      <sharedItems count="2">
        <s v="New York"/>
        <s v="London"/>
      </sharedItems>
    </cacheField>
    <cacheField name="Direction" numFmtId="0">
      <sharedItems/>
    </cacheField>
    <cacheField name="Profit" numFmtId="0">
      <sharedItems containsSemiMixedTypes="0" containsString="0" containsNumber="1" containsInteger="1" minValue="-375" maxValue="750"/>
    </cacheField>
    <cacheField name="R" numFmtId="0">
      <sharedItems containsSemiMixedTypes="0" containsString="0" containsNumber="1" minValue="-1.5" maxValue="3"/>
    </cacheField>
    <cacheField name="Risk Status" numFmtId="0">
      <sharedItems/>
    </cacheField>
    <cacheField name="Profit per R" numFmtId="0">
      <sharedItems containsSemiMixedTypes="0" containsString="0" containsNumber="1" containsInteger="1" minValue="50" maxValue="250"/>
    </cacheField>
    <cacheField name="Result" numFmtId="0">
      <sharedItems/>
    </cacheField>
    <cacheField name="TradeDate" numFmtId="14">
      <sharedItems containsSemiMixedTypes="0" containsNonDate="0" containsDate="1" containsString="0" minDate="2026-01-05T00:00:00" maxDate="2026-07-05T00:00:00"/>
    </cacheField>
  </cacheFields>
  <extLst>
    <ext xmlns:x14="http://schemas.microsoft.com/office/spreadsheetml/2009/9/main" uri="{725AE2AE-9491-48be-B2B4-4EB974FC3084}">
      <x14:pivotCacheDefinition pivotCacheId="812573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6"/>
    <n v="10005"/>
    <x v="0"/>
    <x v="0"/>
    <s v="Buy"/>
    <n v="600"/>
    <n v="3"/>
    <s v="GOOD"/>
    <n v="200"/>
    <s v="Win"/>
    <d v="2026-05-22T00:00:00"/>
  </r>
  <r>
    <n v="80"/>
    <n v="10006"/>
    <x v="0"/>
    <x v="0"/>
    <s v="Sell"/>
    <n v="600"/>
    <n v="3"/>
    <s v="GOOD"/>
    <n v="200"/>
    <s v="Win"/>
    <d v="2026-05-29T00:00:00"/>
  </r>
  <r>
    <n v="16"/>
    <n v="10006"/>
    <x v="0"/>
    <x v="1"/>
    <s v="Sell"/>
    <n v="500"/>
    <n v="2"/>
    <s v="GOOD"/>
    <n v="250"/>
    <s v="Win"/>
    <d v="2026-05-26T00:00:00"/>
  </r>
  <r>
    <n v="78"/>
    <n v="10001"/>
    <x v="0"/>
    <x v="1"/>
    <s v="Sell"/>
    <n v="500"/>
    <n v="2"/>
    <s v="GOOD"/>
    <n v="250"/>
    <s v="Win"/>
    <d v="2026-06-09T00:00:00"/>
  </r>
  <r>
    <n v="35"/>
    <n v="10005"/>
    <x v="0"/>
    <x v="1"/>
    <s v="Buy"/>
    <n v="375"/>
    <n v="1.5"/>
    <s v="REVIEW"/>
    <n v="250"/>
    <s v="Win"/>
    <d v="2026-01-19T00:00:00"/>
  </r>
  <r>
    <n v="45"/>
    <n v="10003"/>
    <x v="0"/>
    <x v="1"/>
    <s v="Buy"/>
    <n v="375"/>
    <n v="1.5"/>
    <s v="REVIEW"/>
    <n v="250"/>
    <s v="Win"/>
    <d v="2026-02-02T00:00:00"/>
  </r>
  <r>
    <n v="43"/>
    <n v="10003"/>
    <x v="0"/>
    <x v="1"/>
    <s v="Sell"/>
    <n v="200"/>
    <n v="2"/>
    <s v="GOOD"/>
    <n v="100"/>
    <s v="Win"/>
    <d v="2026-03-10T00:00:00"/>
  </r>
  <r>
    <n v="77"/>
    <n v="10006"/>
    <x v="0"/>
    <x v="1"/>
    <s v="Sell"/>
    <n v="200"/>
    <n v="2"/>
    <s v="GOOD"/>
    <n v="100"/>
    <s v="Win"/>
    <d v="2026-06-25T00:00:00"/>
  </r>
  <r>
    <n v="99"/>
    <n v="10006"/>
    <x v="0"/>
    <x v="1"/>
    <s v="Sell"/>
    <n v="125"/>
    <n v="2.5"/>
    <s v="GOOD"/>
    <n v="50"/>
    <s v="Win"/>
    <d v="2026-03-20T00:00:00"/>
  </r>
  <r>
    <n v="97"/>
    <n v="10006"/>
    <x v="0"/>
    <x v="1"/>
    <s v="Buy"/>
    <n v="100"/>
    <n v="1"/>
    <s v="REVIEW"/>
    <n v="100"/>
    <s v="Win"/>
    <d v="2026-05-30T00:00:00"/>
  </r>
  <r>
    <n v="93"/>
    <n v="10004"/>
    <x v="0"/>
    <x v="0"/>
    <s v="Sell"/>
    <n v="75"/>
    <n v="1.5"/>
    <s v="REVIEW"/>
    <n v="50"/>
    <s v="Win"/>
    <d v="2026-01-31T00:00:00"/>
  </r>
  <r>
    <n v="1"/>
    <n v="10002"/>
    <x v="0"/>
    <x v="1"/>
    <s v="Sell"/>
    <n v="50"/>
    <n v="1"/>
    <s v="REVIEW"/>
    <n v="50"/>
    <s v="Win"/>
    <d v="2026-06-17T00:00:00"/>
  </r>
  <r>
    <n v="38"/>
    <n v="10005"/>
    <x v="0"/>
    <x v="1"/>
    <s v="Sell"/>
    <n v="-25"/>
    <n v="-0.5"/>
    <s v="REVIEW"/>
    <n v="50"/>
    <s v="Loss"/>
    <d v="2026-03-26T00:00:00"/>
  </r>
  <r>
    <n v="30"/>
    <n v="10001"/>
    <x v="0"/>
    <x v="1"/>
    <s v="Buy"/>
    <n v="-50"/>
    <n v="-0.5"/>
    <s v="REVIEW"/>
    <n v="100"/>
    <s v="Loss"/>
    <d v="2026-05-25T00:00:00"/>
  </r>
  <r>
    <n v="46"/>
    <n v="10001"/>
    <x v="0"/>
    <x v="0"/>
    <s v="Sell"/>
    <n v="-50"/>
    <n v="-0.5"/>
    <s v="REVIEW"/>
    <n v="100"/>
    <s v="Loss"/>
    <d v="2026-02-06T00:00:00"/>
  </r>
  <r>
    <n v="47"/>
    <n v="10005"/>
    <x v="0"/>
    <x v="0"/>
    <s v="Sell"/>
    <n v="-50"/>
    <n v="-0.5"/>
    <s v="REVIEW"/>
    <n v="100"/>
    <s v="Loss"/>
    <d v="2026-06-24T00:00:00"/>
  </r>
  <r>
    <n v="52"/>
    <n v="10005"/>
    <x v="0"/>
    <x v="0"/>
    <s v="Buy"/>
    <n v="-50"/>
    <n v="-1"/>
    <s v="REVIEW"/>
    <n v="50"/>
    <s v="Loss"/>
    <d v="2026-01-12T00:00:00"/>
  </r>
  <r>
    <n v="8"/>
    <n v="10004"/>
    <x v="0"/>
    <x v="0"/>
    <s v="Sell"/>
    <n v="-100"/>
    <n v="-1"/>
    <s v="REVIEW"/>
    <n v="100"/>
    <s v="Loss"/>
    <d v="2026-03-05T00:00:00"/>
  </r>
  <r>
    <n v="70"/>
    <n v="10004"/>
    <x v="0"/>
    <x v="0"/>
    <s v="Sell"/>
    <n v="-100"/>
    <n v="-1"/>
    <s v="REVIEW"/>
    <n v="100"/>
    <s v="Loss"/>
    <d v="2026-05-07T00:00:00"/>
  </r>
  <r>
    <n v="86"/>
    <n v="10002"/>
    <x v="0"/>
    <x v="1"/>
    <s v="Buy"/>
    <n v="-100"/>
    <n v="-1"/>
    <s v="REVIEW"/>
    <n v="100"/>
    <s v="Loss"/>
    <d v="2026-05-27T00:00:00"/>
  </r>
  <r>
    <n v="61"/>
    <n v="10005"/>
    <x v="0"/>
    <x v="1"/>
    <s v="Sell"/>
    <n v="-125"/>
    <n v="-0.5"/>
    <s v="REVIEW"/>
    <n v="250"/>
    <s v="Loss"/>
    <d v="2026-01-11T00:00:00"/>
  </r>
  <r>
    <n v="34"/>
    <n v="10005"/>
    <x v="0"/>
    <x v="1"/>
    <s v="Sell"/>
    <n v="-150"/>
    <n v="-1.5"/>
    <s v="REVIEW"/>
    <n v="100"/>
    <s v="Loss"/>
    <d v="2026-03-26T00:00:00"/>
  </r>
  <r>
    <n v="13"/>
    <n v="10006"/>
    <x v="1"/>
    <x v="1"/>
    <s v="Sell"/>
    <n v="750"/>
    <n v="3"/>
    <s v="GOOD"/>
    <n v="250"/>
    <s v="Win"/>
    <d v="2026-03-13T00:00:00"/>
  </r>
  <r>
    <n v="98"/>
    <n v="10001"/>
    <x v="1"/>
    <x v="1"/>
    <s v="Buy"/>
    <n v="750"/>
    <n v="3"/>
    <s v="GOOD"/>
    <n v="250"/>
    <s v="Win"/>
    <d v="2026-03-07T00:00:00"/>
  </r>
  <r>
    <n v="68"/>
    <n v="10004"/>
    <x v="1"/>
    <x v="1"/>
    <s v="Sell"/>
    <n v="625"/>
    <n v="2.5"/>
    <s v="GOOD"/>
    <n v="250"/>
    <s v="Win"/>
    <d v="2026-07-04T00:00:00"/>
  </r>
  <r>
    <n v="85"/>
    <n v="10003"/>
    <x v="1"/>
    <x v="0"/>
    <s v="Sell"/>
    <n v="600"/>
    <n v="3"/>
    <s v="GOOD"/>
    <n v="200"/>
    <s v="Win"/>
    <d v="2026-05-09T00:00:00"/>
  </r>
  <r>
    <n v="15"/>
    <n v="10004"/>
    <x v="1"/>
    <x v="0"/>
    <s v="Buy"/>
    <n v="500"/>
    <n v="2.5"/>
    <s v="GOOD"/>
    <n v="200"/>
    <s v="Win"/>
    <d v="2026-06-14T00:00:00"/>
  </r>
  <r>
    <n v="37"/>
    <n v="10003"/>
    <x v="1"/>
    <x v="0"/>
    <s v="Buy"/>
    <n v="500"/>
    <n v="2"/>
    <s v="GOOD"/>
    <n v="250"/>
    <s v="Win"/>
    <d v="2026-03-12T00:00:00"/>
  </r>
  <r>
    <n v="71"/>
    <n v="10004"/>
    <x v="1"/>
    <x v="0"/>
    <s v="Sell"/>
    <n v="500"/>
    <n v="2"/>
    <s v="GOOD"/>
    <n v="250"/>
    <s v="Win"/>
    <d v="2026-05-09T00:00:00"/>
  </r>
  <r>
    <n v="88"/>
    <n v="10004"/>
    <x v="1"/>
    <x v="0"/>
    <s v="Sell"/>
    <n v="500"/>
    <n v="2"/>
    <s v="GOOD"/>
    <n v="250"/>
    <s v="Win"/>
    <d v="2026-07-01T00:00:00"/>
  </r>
  <r>
    <n v="76"/>
    <n v="10005"/>
    <x v="1"/>
    <x v="1"/>
    <s v="Buy"/>
    <n v="375"/>
    <n v="1.5"/>
    <s v="REVIEW"/>
    <n v="250"/>
    <s v="Win"/>
    <d v="2026-01-12T00:00:00"/>
  </r>
  <r>
    <n v="92"/>
    <n v="10001"/>
    <x v="1"/>
    <x v="0"/>
    <s v="Buy"/>
    <n v="375"/>
    <n v="1.5"/>
    <s v="REVIEW"/>
    <n v="250"/>
    <s v="Win"/>
    <d v="2026-01-08T00:00:00"/>
  </r>
  <r>
    <n v="10"/>
    <n v="10004"/>
    <x v="1"/>
    <x v="1"/>
    <s v="Buy"/>
    <n v="300"/>
    <n v="3"/>
    <s v="GOOD"/>
    <n v="100"/>
    <s v="Win"/>
    <d v="2026-06-09T00:00:00"/>
  </r>
  <r>
    <n v="23"/>
    <n v="10003"/>
    <x v="1"/>
    <x v="1"/>
    <s v="Buy"/>
    <n v="300"/>
    <n v="3"/>
    <s v="GOOD"/>
    <n v="100"/>
    <s v="Win"/>
    <d v="2026-02-04T00:00:00"/>
  </r>
  <r>
    <n v="54"/>
    <n v="10006"/>
    <x v="1"/>
    <x v="0"/>
    <s v="Buy"/>
    <n v="300"/>
    <n v="3"/>
    <s v="GOOD"/>
    <n v="100"/>
    <s v="Win"/>
    <d v="2026-04-13T00:00:00"/>
  </r>
  <r>
    <n v="12"/>
    <n v="10006"/>
    <x v="1"/>
    <x v="0"/>
    <s v="Buy"/>
    <n v="250"/>
    <n v="2.5"/>
    <s v="GOOD"/>
    <n v="100"/>
    <s v="Win"/>
    <d v="2026-01-21T00:00:00"/>
  </r>
  <r>
    <n v="63"/>
    <n v="10001"/>
    <x v="1"/>
    <x v="1"/>
    <s v="Sell"/>
    <n v="250"/>
    <n v="1"/>
    <s v="REVIEW"/>
    <n v="250"/>
    <s v="Win"/>
    <d v="2026-04-23T00:00:00"/>
  </r>
  <r>
    <n v="95"/>
    <n v="10002"/>
    <x v="1"/>
    <x v="0"/>
    <s v="Buy"/>
    <n v="250"/>
    <n v="2.5"/>
    <s v="GOOD"/>
    <n v="100"/>
    <s v="Win"/>
    <d v="2026-02-12T00:00:00"/>
  </r>
  <r>
    <n v="84"/>
    <n v="10003"/>
    <x v="1"/>
    <x v="0"/>
    <s v="Sell"/>
    <n v="200"/>
    <n v="2"/>
    <s v="GOOD"/>
    <n v="100"/>
    <s v="Win"/>
    <d v="2026-04-30T00:00:00"/>
  </r>
  <r>
    <n v="33"/>
    <n v="10001"/>
    <x v="1"/>
    <x v="0"/>
    <s v="Buy"/>
    <n v="150"/>
    <n v="3"/>
    <s v="GOOD"/>
    <n v="50"/>
    <s v="Win"/>
    <d v="2026-02-13T00:00:00"/>
  </r>
  <r>
    <n v="100"/>
    <n v="10004"/>
    <x v="1"/>
    <x v="0"/>
    <s v="Buy"/>
    <n v="150"/>
    <n v="1.5"/>
    <s v="REVIEW"/>
    <n v="100"/>
    <s v="Win"/>
    <d v="2026-06-29T00:00:00"/>
  </r>
  <r>
    <n v="3"/>
    <n v="10004"/>
    <x v="1"/>
    <x v="0"/>
    <s v="Buy"/>
    <n v="100"/>
    <n v="1"/>
    <s v="REVIEW"/>
    <n v="100"/>
    <s v="Win"/>
    <d v="2026-05-28T00:00:00"/>
  </r>
  <r>
    <n v="7"/>
    <n v="10006"/>
    <x v="1"/>
    <x v="1"/>
    <s v="Buy"/>
    <n v="100"/>
    <n v="2"/>
    <s v="GOOD"/>
    <n v="50"/>
    <s v="Win"/>
    <d v="2026-06-01T00:00:00"/>
  </r>
  <r>
    <n v="20"/>
    <n v="10006"/>
    <x v="1"/>
    <x v="1"/>
    <s v="Buy"/>
    <n v="100"/>
    <n v="1"/>
    <s v="REVIEW"/>
    <n v="100"/>
    <s v="Win"/>
    <d v="2026-01-19T00:00:00"/>
  </r>
  <r>
    <n v="62"/>
    <n v="10004"/>
    <x v="1"/>
    <x v="0"/>
    <s v="Sell"/>
    <n v="50"/>
    <n v="1"/>
    <s v="REVIEW"/>
    <n v="50"/>
    <s v="Win"/>
    <d v="2026-04-21T00:00:00"/>
  </r>
  <r>
    <n v="24"/>
    <n v="10006"/>
    <x v="1"/>
    <x v="1"/>
    <s v="Buy"/>
    <n v="-25"/>
    <n v="-0.5"/>
    <s v="REVIEW"/>
    <n v="50"/>
    <s v="Loss"/>
    <d v="2026-06-04T00:00:00"/>
  </r>
  <r>
    <n v="14"/>
    <n v="10001"/>
    <x v="1"/>
    <x v="1"/>
    <s v="Sell"/>
    <n v="-50"/>
    <n v="-0.5"/>
    <s v="REVIEW"/>
    <n v="100"/>
    <s v="Loss"/>
    <d v="2026-04-07T00:00:00"/>
  </r>
  <r>
    <n v="49"/>
    <n v="10001"/>
    <x v="1"/>
    <x v="1"/>
    <s v="Sell"/>
    <n v="-50"/>
    <n v="-0.5"/>
    <s v="REVIEW"/>
    <n v="100"/>
    <s v="Loss"/>
    <d v="2026-03-14T00:00:00"/>
  </r>
  <r>
    <n v="79"/>
    <n v="10001"/>
    <x v="1"/>
    <x v="1"/>
    <s v="Buy"/>
    <n v="-50"/>
    <n v="-1"/>
    <s v="REVIEW"/>
    <n v="50"/>
    <s v="Loss"/>
    <d v="2026-04-16T00:00:00"/>
  </r>
  <r>
    <n v="40"/>
    <n v="10005"/>
    <x v="1"/>
    <x v="0"/>
    <s v="Sell"/>
    <n v="-75"/>
    <n v="-1.5"/>
    <s v="REVIEW"/>
    <n v="50"/>
    <s v="Loss"/>
    <d v="2026-03-18T00:00:00"/>
  </r>
  <r>
    <n v="39"/>
    <n v="10003"/>
    <x v="1"/>
    <x v="0"/>
    <s v="Buy"/>
    <n v="-100"/>
    <n v="-0.5"/>
    <s v="REVIEW"/>
    <n v="200"/>
    <s v="Loss"/>
    <d v="2026-05-22T00:00:00"/>
  </r>
  <r>
    <n v="29"/>
    <n v="10002"/>
    <x v="1"/>
    <x v="0"/>
    <s v="Sell"/>
    <n v="-125"/>
    <n v="-0.5"/>
    <s v="REVIEW"/>
    <n v="250"/>
    <s v="Loss"/>
    <d v="2026-04-23T00:00:00"/>
  </r>
  <r>
    <n v="69"/>
    <n v="10005"/>
    <x v="1"/>
    <x v="0"/>
    <s v="Sell"/>
    <n v="-125"/>
    <n v="-0.5"/>
    <s v="REVIEW"/>
    <n v="250"/>
    <s v="Loss"/>
    <d v="2026-01-20T00:00:00"/>
  </r>
  <r>
    <n v="22"/>
    <n v="10006"/>
    <x v="1"/>
    <x v="0"/>
    <s v="Sell"/>
    <n v="-250"/>
    <n v="-1"/>
    <s v="REVIEW"/>
    <n v="250"/>
    <s v="Loss"/>
    <d v="2026-05-23T00:00:00"/>
  </r>
  <r>
    <n v="36"/>
    <n v="10004"/>
    <x v="1"/>
    <x v="1"/>
    <s v="Buy"/>
    <n v="-300"/>
    <n v="-1.5"/>
    <s v="REVIEW"/>
    <n v="200"/>
    <s v="Loss"/>
    <d v="2026-02-04T00:00:00"/>
  </r>
  <r>
    <n v="32"/>
    <n v="10003"/>
    <x v="2"/>
    <x v="0"/>
    <s v="Sell"/>
    <n v="750"/>
    <n v="3"/>
    <s v="GOOD"/>
    <n v="250"/>
    <s v="Win"/>
    <d v="2026-01-05T00:00:00"/>
  </r>
  <r>
    <n v="73"/>
    <n v="10002"/>
    <x v="2"/>
    <x v="1"/>
    <s v="Sell"/>
    <n v="500"/>
    <n v="2.5"/>
    <s v="GOOD"/>
    <n v="200"/>
    <s v="Win"/>
    <d v="2026-06-18T00:00:00"/>
  </r>
  <r>
    <n v="74"/>
    <n v="10004"/>
    <x v="2"/>
    <x v="0"/>
    <s v="Sell"/>
    <n v="500"/>
    <n v="2.5"/>
    <s v="GOOD"/>
    <n v="200"/>
    <s v="Win"/>
    <d v="2026-02-28T00:00:00"/>
  </r>
  <r>
    <n v="87"/>
    <n v="10001"/>
    <x v="2"/>
    <x v="0"/>
    <s v="Sell"/>
    <n v="375"/>
    <n v="1.5"/>
    <s v="REVIEW"/>
    <n v="250"/>
    <s v="Win"/>
    <d v="2026-06-30T00:00:00"/>
  </r>
  <r>
    <n v="65"/>
    <n v="10004"/>
    <x v="2"/>
    <x v="1"/>
    <s v="Sell"/>
    <n v="300"/>
    <n v="1.5"/>
    <s v="REVIEW"/>
    <n v="200"/>
    <s v="Win"/>
    <d v="2026-05-25T00:00:00"/>
  </r>
  <r>
    <n v="26"/>
    <n v="10004"/>
    <x v="2"/>
    <x v="1"/>
    <s v="Sell"/>
    <n v="250"/>
    <n v="1"/>
    <s v="REVIEW"/>
    <n v="250"/>
    <s v="Win"/>
    <d v="2026-05-31T00:00:00"/>
  </r>
  <r>
    <n v="55"/>
    <n v="10005"/>
    <x v="2"/>
    <x v="1"/>
    <s v="Sell"/>
    <n v="200"/>
    <n v="1"/>
    <s v="REVIEW"/>
    <n v="200"/>
    <s v="Win"/>
    <d v="2026-04-08T00:00:00"/>
  </r>
  <r>
    <n v="59"/>
    <n v="10006"/>
    <x v="2"/>
    <x v="1"/>
    <s v="Sell"/>
    <n v="200"/>
    <n v="1"/>
    <s v="REVIEW"/>
    <n v="200"/>
    <s v="Win"/>
    <d v="2026-04-28T00:00:00"/>
  </r>
  <r>
    <n v="66"/>
    <n v="10004"/>
    <x v="2"/>
    <x v="1"/>
    <s v="Sell"/>
    <n v="200"/>
    <n v="2"/>
    <s v="GOOD"/>
    <n v="100"/>
    <s v="Win"/>
    <d v="2026-05-18T00:00:00"/>
  </r>
  <r>
    <n v="2"/>
    <n v="10001"/>
    <x v="2"/>
    <x v="1"/>
    <s v="Buy"/>
    <n v="150"/>
    <n v="3"/>
    <s v="GOOD"/>
    <n v="50"/>
    <s v="Win"/>
    <d v="2026-06-05T00:00:00"/>
  </r>
  <r>
    <n v="94"/>
    <n v="10004"/>
    <x v="2"/>
    <x v="1"/>
    <s v="Buy"/>
    <n v="150"/>
    <n v="3"/>
    <s v="GOOD"/>
    <n v="50"/>
    <s v="Win"/>
    <d v="2026-03-10T00:00:00"/>
  </r>
  <r>
    <n v="57"/>
    <n v="10005"/>
    <x v="2"/>
    <x v="0"/>
    <s v="Buy"/>
    <n v="125"/>
    <n v="2.5"/>
    <s v="GOOD"/>
    <n v="50"/>
    <s v="Win"/>
    <d v="2026-02-23T00:00:00"/>
  </r>
  <r>
    <n v="4"/>
    <n v="10002"/>
    <x v="2"/>
    <x v="0"/>
    <s v="Sell"/>
    <n v="100"/>
    <n v="2"/>
    <s v="GOOD"/>
    <n v="50"/>
    <s v="Win"/>
    <d v="2026-07-02T00:00:00"/>
  </r>
  <r>
    <n v="27"/>
    <n v="10006"/>
    <x v="2"/>
    <x v="0"/>
    <s v="Sell"/>
    <n v="50"/>
    <n v="1"/>
    <s v="REVIEW"/>
    <n v="50"/>
    <s v="Win"/>
    <d v="2026-04-05T00:00:00"/>
  </r>
  <r>
    <n v="72"/>
    <n v="10004"/>
    <x v="2"/>
    <x v="1"/>
    <s v="Buy"/>
    <n v="50"/>
    <n v="1"/>
    <s v="REVIEW"/>
    <n v="50"/>
    <s v="Win"/>
    <d v="2026-02-16T00:00:00"/>
  </r>
  <r>
    <n v="75"/>
    <n v="10003"/>
    <x v="2"/>
    <x v="1"/>
    <s v="Buy"/>
    <n v="50"/>
    <n v="1"/>
    <s v="REVIEW"/>
    <n v="50"/>
    <s v="Win"/>
    <d v="2026-01-25T00:00:00"/>
  </r>
  <r>
    <n v="17"/>
    <n v="10005"/>
    <x v="2"/>
    <x v="1"/>
    <s v="Sell"/>
    <n v="-75"/>
    <n v="-1.5"/>
    <s v="REVIEW"/>
    <n v="50"/>
    <s v="Loss"/>
    <d v="2026-02-14T00:00:00"/>
  </r>
  <r>
    <n v="53"/>
    <n v="10004"/>
    <x v="2"/>
    <x v="0"/>
    <s v="Sell"/>
    <n v="-75"/>
    <n v="-1.5"/>
    <s v="REVIEW"/>
    <n v="50"/>
    <s v="Loss"/>
    <d v="2026-02-01T00:00:00"/>
  </r>
  <r>
    <n v="21"/>
    <n v="10005"/>
    <x v="2"/>
    <x v="1"/>
    <s v="Sell"/>
    <n v="-100"/>
    <n v="-1"/>
    <s v="REVIEW"/>
    <n v="100"/>
    <s v="Loss"/>
    <d v="2026-02-06T00:00:00"/>
  </r>
  <r>
    <n v="48"/>
    <n v="10006"/>
    <x v="2"/>
    <x v="1"/>
    <s v="Buy"/>
    <n v="-100"/>
    <n v="-1"/>
    <s v="REVIEW"/>
    <n v="100"/>
    <s v="Loss"/>
    <d v="2026-02-19T00:00:00"/>
  </r>
  <r>
    <n v="83"/>
    <n v="10002"/>
    <x v="2"/>
    <x v="0"/>
    <s v="Sell"/>
    <n v="-100"/>
    <n v="-0.5"/>
    <s v="REVIEW"/>
    <n v="200"/>
    <s v="Loss"/>
    <d v="2026-05-04T00:00:00"/>
  </r>
  <r>
    <n v="5"/>
    <n v="10003"/>
    <x v="2"/>
    <x v="1"/>
    <s v="Sell"/>
    <n v="-125"/>
    <n v="-0.5"/>
    <s v="REVIEW"/>
    <n v="250"/>
    <s v="Loss"/>
    <d v="2026-01-28T00:00:00"/>
  </r>
  <r>
    <n v="31"/>
    <n v="10004"/>
    <x v="2"/>
    <x v="0"/>
    <s v="Buy"/>
    <n v="-125"/>
    <n v="-0.5"/>
    <s v="REVIEW"/>
    <n v="250"/>
    <s v="Loss"/>
    <d v="2026-04-19T00:00:00"/>
  </r>
  <r>
    <n v="96"/>
    <n v="10003"/>
    <x v="2"/>
    <x v="0"/>
    <s v="Sell"/>
    <n v="-200"/>
    <n v="-1"/>
    <s v="REVIEW"/>
    <n v="200"/>
    <s v="Loss"/>
    <d v="2026-05-18T00:00:00"/>
  </r>
  <r>
    <n v="64"/>
    <n v="10005"/>
    <x v="2"/>
    <x v="0"/>
    <s v="Sell"/>
    <n v="-375"/>
    <n v="-1.5"/>
    <s v="REVIEW"/>
    <n v="250"/>
    <s v="Loss"/>
    <d v="2026-02-08T00:00:00"/>
  </r>
  <r>
    <n v="81"/>
    <n v="10004"/>
    <x v="2"/>
    <x v="0"/>
    <s v="Buy"/>
    <n v="-375"/>
    <n v="-1.5"/>
    <s v="REVIEW"/>
    <n v="250"/>
    <s v="Loss"/>
    <d v="2026-01-08T00:00:00"/>
  </r>
  <r>
    <n v="82"/>
    <n v="10005"/>
    <x v="2"/>
    <x v="1"/>
    <s v="Sell"/>
    <n v="-375"/>
    <n v="-1.5"/>
    <s v="REVIEW"/>
    <n v="250"/>
    <s v="Loss"/>
    <d v="2026-02-13T00:00:00"/>
  </r>
  <r>
    <n v="90"/>
    <n v="10002"/>
    <x v="3"/>
    <x v="1"/>
    <s v="Buy"/>
    <n v="500"/>
    <n v="2.5"/>
    <s v="GOOD"/>
    <n v="200"/>
    <s v="Win"/>
    <d v="2026-02-23T00:00:00"/>
  </r>
  <r>
    <n v="50"/>
    <n v="10002"/>
    <x v="3"/>
    <x v="0"/>
    <s v="Buy"/>
    <n v="375"/>
    <n v="1.5"/>
    <s v="REVIEW"/>
    <n v="250"/>
    <s v="Win"/>
    <d v="2026-05-02T00:00:00"/>
  </r>
  <r>
    <n v="91"/>
    <n v="10003"/>
    <x v="3"/>
    <x v="1"/>
    <s v="Buy"/>
    <n v="300"/>
    <n v="1.5"/>
    <s v="REVIEW"/>
    <n v="200"/>
    <s v="Win"/>
    <d v="2026-06-04T00:00:00"/>
  </r>
  <r>
    <n v="28"/>
    <n v="10002"/>
    <x v="3"/>
    <x v="1"/>
    <s v="Buy"/>
    <n v="250"/>
    <n v="2.5"/>
    <s v="GOOD"/>
    <n v="100"/>
    <s v="Win"/>
    <d v="2026-04-18T00:00:00"/>
  </r>
  <r>
    <n v="67"/>
    <n v="10002"/>
    <x v="3"/>
    <x v="0"/>
    <s v="Buy"/>
    <n v="250"/>
    <n v="2.5"/>
    <s v="GOOD"/>
    <n v="100"/>
    <s v="Win"/>
    <d v="2026-03-15T00:00:00"/>
  </r>
  <r>
    <n v="60"/>
    <n v="10006"/>
    <x v="3"/>
    <x v="1"/>
    <s v="Buy"/>
    <n v="150"/>
    <n v="1.5"/>
    <s v="REVIEW"/>
    <n v="100"/>
    <s v="Win"/>
    <d v="2026-05-16T00:00:00"/>
  </r>
  <r>
    <n v="41"/>
    <n v="10003"/>
    <x v="3"/>
    <x v="1"/>
    <s v="Buy"/>
    <n v="100"/>
    <n v="1"/>
    <s v="REVIEW"/>
    <n v="100"/>
    <s v="Win"/>
    <d v="2026-06-24T00:00:00"/>
  </r>
  <r>
    <n v="89"/>
    <n v="10003"/>
    <x v="3"/>
    <x v="0"/>
    <s v="Sell"/>
    <n v="75"/>
    <n v="1.5"/>
    <s v="REVIEW"/>
    <n v="50"/>
    <s v="Win"/>
    <d v="2026-05-25T00:00:00"/>
  </r>
  <r>
    <n v="25"/>
    <n v="10003"/>
    <x v="3"/>
    <x v="1"/>
    <s v="Buy"/>
    <n v="-50"/>
    <n v="-0.5"/>
    <s v="REVIEW"/>
    <n v="100"/>
    <s v="Loss"/>
    <d v="2026-01-13T00:00:00"/>
  </r>
  <r>
    <n v="9"/>
    <n v="10006"/>
    <x v="3"/>
    <x v="1"/>
    <s v="Sell"/>
    <n v="-75"/>
    <n v="-1.5"/>
    <s v="REVIEW"/>
    <n v="50"/>
    <s v="Loss"/>
    <d v="2026-04-09T00:00:00"/>
  </r>
  <r>
    <n v="18"/>
    <n v="10003"/>
    <x v="3"/>
    <x v="1"/>
    <s v="Buy"/>
    <n v="-75"/>
    <n v="-1.5"/>
    <s v="REVIEW"/>
    <n v="50"/>
    <s v="Loss"/>
    <d v="2026-06-14T00:00:00"/>
  </r>
  <r>
    <n v="44"/>
    <n v="10005"/>
    <x v="3"/>
    <x v="1"/>
    <s v="Sell"/>
    <n v="-75"/>
    <n v="-1.5"/>
    <s v="REVIEW"/>
    <n v="50"/>
    <s v="Loss"/>
    <d v="2026-06-17T00:00:00"/>
  </r>
  <r>
    <n v="19"/>
    <n v="10001"/>
    <x v="3"/>
    <x v="0"/>
    <s v="Buy"/>
    <n v="-100"/>
    <n v="-1"/>
    <s v="REVIEW"/>
    <n v="100"/>
    <s v="Loss"/>
    <d v="2026-06-07T00:00:00"/>
  </r>
  <r>
    <n v="56"/>
    <n v="10004"/>
    <x v="3"/>
    <x v="0"/>
    <s v="Sell"/>
    <n v="-150"/>
    <n v="-1.5"/>
    <s v="REVIEW"/>
    <n v="100"/>
    <s v="Loss"/>
    <d v="2026-05-14T00:00:00"/>
  </r>
  <r>
    <n v="11"/>
    <n v="10001"/>
    <x v="3"/>
    <x v="1"/>
    <s v="Buy"/>
    <n v="-200"/>
    <n v="-1"/>
    <s v="REVIEW"/>
    <n v="200"/>
    <s v="Loss"/>
    <d v="2026-06-29T00:00:00"/>
  </r>
  <r>
    <n v="51"/>
    <n v="10003"/>
    <x v="3"/>
    <x v="1"/>
    <s v="Sell"/>
    <n v="-200"/>
    <n v="-1"/>
    <s v="REVIEW"/>
    <n v="200"/>
    <s v="Loss"/>
    <d v="2026-03-30T00:00:00"/>
  </r>
  <r>
    <n v="42"/>
    <n v="10002"/>
    <x v="3"/>
    <x v="1"/>
    <s v="Sell"/>
    <n v="-250"/>
    <n v="-1"/>
    <s v="REVIEW"/>
    <n v="250"/>
    <s v="Loss"/>
    <d v="2026-03-15T00:00:00"/>
  </r>
  <r>
    <n v="58"/>
    <n v="10005"/>
    <x v="3"/>
    <x v="1"/>
    <s v="Sell"/>
    <n v="-250"/>
    <n v="-1"/>
    <s v="REVIEW"/>
    <n v="250"/>
    <s v="Loss"/>
    <d v="2026-03-2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54A866-DD3A-4EEB-BEE0-1348D5A97AB2}" name="PivotTable2" cacheId="0" dataOnRows="1" applyNumberFormats="0" applyBorderFormats="0" applyFontFormats="0" applyPatternFormats="0" applyAlignmentFormats="0" applyWidthHeightFormats="1" dataCaption="KPIS" updatedVersion="8" minRefreshableVersion="3" useAutoFormatting="1" itemPrintTitles="1" createdVersion="8" indent="0" outline="1" outlineData="1" multipleFieldFilters="0" chartFormat="4">
  <location ref="E3:F8" firstHeaderRow="1" firstDataRow="1" firstDataCol="1"/>
  <pivotFields count="11">
    <pivotField showAll="0"/>
    <pivotField showAll="0"/>
    <pivotField axis="axisRow" showAll="0">
      <items count="5">
        <item x="0"/>
        <item x="1"/>
        <item x="2"/>
        <item x="3"/>
        <item t="default"/>
      </items>
    </pivotField>
    <pivotField showAll="0">
      <items count="3">
        <item x="1"/>
        <item x="0"/>
        <item t="default"/>
      </items>
    </pivotField>
    <pivotField showAll="0"/>
    <pivotField dataField="1" showAll="0"/>
    <pivotField showAll="0"/>
    <pivotField showAll="0"/>
    <pivotField showAll="0"/>
    <pivotField showAll="0"/>
    <pivotField numFmtId="14" showAll="0"/>
  </pivotFields>
  <rowFields count="1">
    <field x="2"/>
  </rowFields>
  <rowItems count="5">
    <i>
      <x/>
    </i>
    <i>
      <x v="1"/>
    </i>
    <i>
      <x v="2"/>
    </i>
    <i>
      <x v="3"/>
    </i>
    <i t="grand">
      <x/>
    </i>
  </rowItems>
  <colItems count="1">
    <i/>
  </colItems>
  <dataFields count="1">
    <dataField name="Sum of Profi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2E7F2-5E81-4455-AFE6-186B9B4ACD6D}" name="PivotTable1" cacheId="0" dataOnRows="1" applyNumberFormats="0" applyBorderFormats="0" applyFontFormats="0" applyPatternFormats="0" applyAlignmentFormats="0" applyWidthHeightFormats="1" dataCaption="KPIS" updatedVersion="8" minRefreshableVersion="3" useAutoFormatting="1" itemPrintTitles="1" createdVersion="8" indent="0" outline="1" outlineData="1" multipleFieldFilters="0">
  <location ref="A3:B6" firstHeaderRow="1" firstDataRow="1" firstDataCol="1"/>
  <pivotFields count="11">
    <pivotField dataField="1" showAll="0"/>
    <pivotField showAll="0"/>
    <pivotField showAll="0">
      <items count="5">
        <item x="0"/>
        <item x="1"/>
        <item x="2"/>
        <item x="3"/>
        <item t="default"/>
      </items>
    </pivotField>
    <pivotField showAll="0">
      <items count="3">
        <item x="1"/>
        <item x="0"/>
        <item t="default"/>
      </items>
    </pivotField>
    <pivotField showAll="0"/>
    <pivotField dataField="1" showAll="0"/>
    <pivotField showAll="0"/>
    <pivotField showAll="0"/>
    <pivotField dataField="1" showAll="0"/>
    <pivotField showAll="0"/>
    <pivotField numFmtId="14" showAll="0"/>
  </pivotFields>
  <rowFields count="1">
    <field x="-2"/>
  </rowFields>
  <rowItems count="3">
    <i>
      <x/>
    </i>
    <i i="1">
      <x v="1"/>
    </i>
    <i i="2">
      <x v="2"/>
    </i>
  </rowItems>
  <colItems count="1">
    <i/>
  </colItems>
  <dataFields count="3">
    <dataField name="Count of TradeID" fld="0" subtotal="count" baseField="0" baseItem="0"/>
    <dataField name="Average of Profit per R" fld="8" subtotal="average" baseField="0" baseItem="0"/>
    <dataField name="Sum of Profit" fld="5" baseField="0" baseItem="0"/>
  </dataFields>
  <formats count="3">
    <format dxfId="13">
      <pivotArea collapsedLevelsAreSubtotals="1" fieldPosition="0">
        <references count="1">
          <reference field="4294967294" count="2">
            <x v="1"/>
            <x v="2"/>
          </reference>
        </references>
      </pivotArea>
    </format>
    <format dxfId="12">
      <pivotArea collapsedLevelsAreSubtotals="1" fieldPosition="0">
        <references count="1">
          <reference field="4294967294" count="1">
            <x v="1"/>
          </reference>
        </references>
      </pivotArea>
    </format>
    <format dxfId="11">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292E5-10FE-49B4-A7F8-F115F1178EA8}" name="PivotTable5" cacheId="0" dataOnRows="1" applyNumberFormats="0" applyBorderFormats="0" applyFontFormats="0" applyPatternFormats="0" applyAlignmentFormats="0" applyWidthHeightFormats="1" dataCaption="KPIS" updatedVersion="8" minRefreshableVersion="3" useAutoFormatting="1" itemPrintTitles="1" createdVersion="8" indent="0" outline="1" outlineData="1" multipleFieldFilters="0" chartFormat="15">
  <location ref="L3:M8" firstHeaderRow="1" firstDataRow="1" firstDataCol="1"/>
  <pivotFields count="11">
    <pivotField showAll="0"/>
    <pivotField showAll="0"/>
    <pivotField axis="axisRow" showAll="0">
      <items count="5">
        <item x="0"/>
        <item x="1"/>
        <item x="2"/>
        <item x="3"/>
        <item t="default"/>
      </items>
    </pivotField>
    <pivotField showAll="0">
      <items count="3">
        <item x="1"/>
        <item x="0"/>
        <item t="default"/>
      </items>
    </pivotField>
    <pivotField showAll="0"/>
    <pivotField dataField="1" showAll="0"/>
    <pivotField showAll="0"/>
    <pivotField showAll="0"/>
    <pivotField showAll="0"/>
    <pivotField showAll="0"/>
    <pivotField numFmtId="14" showAll="0"/>
  </pivotFields>
  <rowFields count="1">
    <field x="2"/>
  </rowFields>
  <rowItems count="5">
    <i>
      <x/>
    </i>
    <i>
      <x v="1"/>
    </i>
    <i>
      <x v="2"/>
    </i>
    <i>
      <x v="3"/>
    </i>
    <i t="grand">
      <x/>
    </i>
  </rowItems>
  <colItems count="1">
    <i/>
  </colItems>
  <dataFields count="1">
    <dataField name="Sum of Profit" fld="5" baseField="0" baseItem="0"/>
  </dataFields>
  <chartFormats count="6">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245CED-3EBE-4EDD-95EE-52F2F7715F82}" name="PivotTable3" cacheId="0" dataOnRows="1" applyNumberFormats="0" applyBorderFormats="0" applyFontFormats="0" applyPatternFormats="0" applyAlignmentFormats="0" applyWidthHeightFormats="1" dataCaption="KPIS" updatedVersion="8" minRefreshableVersion="3" showDrill="0" useAutoFormatting="1" itemPrintTitles="1" createdVersion="8" indent="0" showHeaders="0" outline="1" outlineData="1" multipleFieldFilters="0" chartFormat="10">
  <location ref="H3:I6" firstHeaderRow="1" firstDataRow="1" firstDataCol="1"/>
  <pivotFields count="11">
    <pivotField dataField="1" showAll="0"/>
    <pivotField showAll="0"/>
    <pivotField showAll="0">
      <items count="5">
        <item x="0"/>
        <item x="1"/>
        <item x="2"/>
        <item x="3"/>
        <item t="default"/>
      </items>
    </pivotField>
    <pivotField axis="axisRow" showAll="0">
      <items count="3">
        <item x="1"/>
        <item x="0"/>
        <item t="default"/>
      </items>
    </pivotField>
    <pivotField showAll="0"/>
    <pivotField showAll="0"/>
    <pivotField showAll="0"/>
    <pivotField showAll="0"/>
    <pivotField showAll="0"/>
    <pivotField showAll="0"/>
    <pivotField numFmtId="14" showAll="0"/>
  </pivotFields>
  <rowFields count="1">
    <field x="3"/>
  </rowFields>
  <rowItems count="3">
    <i>
      <x/>
    </i>
    <i>
      <x v="1"/>
    </i>
    <i t="grand">
      <x/>
    </i>
  </rowItems>
  <colItems count="1">
    <i/>
  </colItems>
  <dataFields count="1">
    <dataField name="Count of TradeID" fld="0" subtotal="count" baseField="3" baseItem="0"/>
  </dataFields>
  <chartFormats count="3">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6FAED9-24BD-4304-90C1-045F62346022}" autoFormatId="16" applyNumberFormats="0" applyBorderFormats="0" applyFontFormats="0" applyPatternFormats="0" applyAlignmentFormats="0" applyWidthHeightFormats="0">
  <queryTableRefresh nextId="12">
    <queryTableFields count="11">
      <queryTableField id="1" name="TradeID" tableColumnId="1"/>
      <queryTableField id="2" name="AccountID" tableColumnId="2"/>
      <queryTableField id="3" name="Pair" tableColumnId="3"/>
      <queryTableField id="4" name="Session" tableColumnId="4"/>
      <queryTableField id="5" name="Direction" tableColumnId="5"/>
      <queryTableField id="6" name="Profit" tableColumnId="6"/>
      <queryTableField id="7" name="R" tableColumnId="7"/>
      <queryTableField id="8" name="Risk Status" tableColumnId="8"/>
      <queryTableField id="9" name="Profit per R" tableColumnId="9"/>
      <queryTableField id="10" name="Result" tableColumnId="10"/>
      <queryTableField id="11" name="TradeDat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r" xr10:uid="{2B80DF5C-68A7-4BF4-AB74-FB7C5AF7318A}" sourceName="Pair">
  <pivotTables>
    <pivotTable tabId="14" name="PivotTable1"/>
    <pivotTable tabId="14" name="PivotTable2"/>
    <pivotTable tabId="14" name="PivotTable3"/>
    <pivotTable tabId="14" name="PivotTable5"/>
  </pivotTables>
  <data>
    <tabular pivotCacheId="81257327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 xr10:uid="{71CDACC7-3D23-488C-96D1-07B0F2D0E306}" sourceName="Session">
  <pivotTables>
    <pivotTable tabId="14" name="PivotTable3"/>
    <pivotTable tabId="14" name="PivotTable1"/>
    <pivotTable tabId="14" name="PivotTable2"/>
    <pivotTable tabId="14" name="PivotTable5"/>
  </pivotTables>
  <data>
    <tabular pivotCacheId="8125732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ir 1" xr10:uid="{7616090F-3594-49FC-A040-C29C82158BB0}" cache="Slicer_Pair" caption="Pair" style="Slicer Style 1" rowHeight="247650"/>
  <slicer name="Session 1" xr10:uid="{EAC61000-4869-44CB-BDC0-B1B0D57FE610}" cache="Slicer_Session" caption="Session"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C14C3B-7AFE-48A8-A469-1DA670C5DCBB}" name="dataraw_1" displayName="dataraw_1" ref="A1:K101" tableType="queryTable" totalsRowShown="0">
  <autoFilter ref="A1:K101" xr:uid="{A3C14C3B-7AFE-48A8-A469-1DA670C5DCBB}"/>
  <tableColumns count="11">
    <tableColumn id="1" xr3:uid="{02140309-5C9E-4FCF-A6BE-8EA0CEBA87DC}" uniqueName="1" name="TradeID" queryTableFieldId="1"/>
    <tableColumn id="2" xr3:uid="{FB262FC3-BDF2-4A55-9D6B-49D58D934551}" uniqueName="2" name="AccountID" queryTableFieldId="2"/>
    <tableColumn id="3" xr3:uid="{4C9DCEC0-8086-4C38-9571-B93501264379}" uniqueName="3" name="Pair" queryTableFieldId="3" dataDxfId="10"/>
    <tableColumn id="4" xr3:uid="{B0049864-1E12-47C0-8D45-1BD553A79BAB}" uniqueName="4" name="Session" queryTableFieldId="4" dataDxfId="9"/>
    <tableColumn id="5" xr3:uid="{B5B64422-7954-4A9C-B33D-8A5E60CB500D}" uniqueName="5" name="Direction" queryTableFieldId="5" dataDxfId="8"/>
    <tableColumn id="6" xr3:uid="{BE437651-A68A-4F41-A443-D45C25FBE21E}" uniqueName="6" name="Profit" queryTableFieldId="6"/>
    <tableColumn id="7" xr3:uid="{02DDF3D9-CEDC-4A92-A93C-3CC26BA2A00F}" uniqueName="7" name="R" queryTableFieldId="7"/>
    <tableColumn id="8" xr3:uid="{978AF754-C228-4791-B803-55E415CF70ED}" uniqueName="8" name="Risk Status" queryTableFieldId="8" dataDxfId="7"/>
    <tableColumn id="9" xr3:uid="{5FB9330C-B7E2-4D0F-8CE9-5BCD5AD9DF22}" uniqueName="9" name="Profit per R" queryTableFieldId="9"/>
    <tableColumn id="10" xr3:uid="{7B07BC40-ABE4-4622-B96B-23717E82E09B}" uniqueName="10" name="Result" queryTableFieldId="10" dataDxfId="6"/>
    <tableColumn id="11" xr3:uid="{3DD01B60-6855-4A1D-9460-87483A9790C6}" uniqueName="11" name="TradeDate" queryTableFieldId="11" dataDxfId="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EB144A-984A-4FCF-892A-EB44514BDE51}" name="dataraw" displayName="dataraw" ref="A1:K101" totalsRowShown="0">
  <autoFilter ref="A1:K101" xr:uid="{E6EB144A-984A-4FCF-892A-EB44514BDE51}"/>
  <sortState xmlns:xlrd2="http://schemas.microsoft.com/office/spreadsheetml/2017/richdata2" ref="A2:K101">
    <sortCondition ref="C2:C101"/>
  </sortState>
  <tableColumns count="11">
    <tableColumn id="1" xr3:uid="{897A45A9-8A0C-47F0-BAC4-2FB84871975D}" name="TradeID"/>
    <tableColumn id="2" xr3:uid="{2DC41DFE-2253-40BF-A088-0B1563C0DC81}" name="AccountID"/>
    <tableColumn id="3" xr3:uid="{A49B41A0-B5A8-4D84-9946-EDB3CB5DDF8D}" name="Pair"/>
    <tableColumn id="4" xr3:uid="{D5134F04-2F4C-4397-8C5A-C13250A966D9}" name="Session"/>
    <tableColumn id="5" xr3:uid="{539426CC-F875-4D64-977A-05C6F1BCDBCD}" name="Direction"/>
    <tableColumn id="6" xr3:uid="{BFF7C4D2-29D9-4645-98DB-6FBF609AB80F}" name="Profit"/>
    <tableColumn id="7" xr3:uid="{CD8DBAA1-576E-4991-87E5-049F5C232A1F}" name="R"/>
    <tableColumn id="13" xr3:uid="{5604F9D2-2C8F-4B63-9FB0-08636A1FD8D3}" name="Risk Status" dataDxfId="4">
      <calculatedColumnFormula>IF(OR(dataraw[[#This Row],[R]]&gt;=2,dataraw[[#This Row],[Profit]]&gt;500),"GOOD","REVIEW")</calculatedColumnFormula>
    </tableColumn>
    <tableColumn id="14" xr3:uid="{4778648E-2E5E-4C3F-BBFA-07AD84B520D7}" name="Profit per R" dataDxfId="3">
      <calculatedColumnFormula>IFERROR(dataraw[[#This Row],[Profit]]/dataraw[[#This Row],[R]],"0")</calculatedColumnFormula>
    </tableColumn>
    <tableColumn id="8" xr3:uid="{CC96218F-2F0A-46BB-98E4-8AE8218DB3D7}" name="Result"/>
    <tableColumn id="9" xr3:uid="{33DFF7EB-37F8-4413-89B2-47AF0ABF1AB0}" name="TradeDate"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54396-6878-4D1E-AAD0-78B348A5B942}">
  <dimension ref="A1"/>
  <sheetViews>
    <sheetView topLeftCell="I1" workbookViewId="0">
      <selection activeCell="U6" sqref="U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30C4D-A81C-4CDE-AB51-4B6E16CE55F8}">
  <dimension ref="B4:X14"/>
  <sheetViews>
    <sheetView tabSelected="1" topLeftCell="O1" workbookViewId="0">
      <selection activeCell="Z4" sqref="Z4"/>
    </sheetView>
  </sheetViews>
  <sheetFormatPr defaultRowHeight="14.4" x14ac:dyDescent="0.3"/>
  <cols>
    <col min="3" max="3" width="10.109375" customWidth="1"/>
    <col min="13" max="13" width="9.6640625" bestFit="1" customWidth="1"/>
    <col min="14" max="14" width="11.5546875" customWidth="1"/>
  </cols>
  <sheetData>
    <row r="4" spans="2:24" x14ac:dyDescent="0.3">
      <c r="M4" s="13" t="s">
        <v>42</v>
      </c>
      <c r="N4" s="13" t="s">
        <v>43</v>
      </c>
    </row>
    <row r="5" spans="2:24" x14ac:dyDescent="0.3">
      <c r="B5" s="13" t="s">
        <v>36</v>
      </c>
      <c r="C5" s="13" t="s">
        <v>37</v>
      </c>
      <c r="M5" s="12" t="s">
        <v>38</v>
      </c>
      <c r="N5" s="12">
        <v>100</v>
      </c>
      <c r="T5" s="14" t="s">
        <v>44</v>
      </c>
      <c r="U5" s="14"/>
      <c r="V5" s="14"/>
      <c r="W5" s="14"/>
      <c r="X5" s="14"/>
    </row>
    <row r="6" spans="2:24" x14ac:dyDescent="0.3">
      <c r="B6" s="12" t="s">
        <v>32</v>
      </c>
      <c r="C6" s="12">
        <v>1563</v>
      </c>
      <c r="M6" s="12" t="s">
        <v>39</v>
      </c>
      <c r="N6" s="12">
        <v>54</v>
      </c>
    </row>
    <row r="7" spans="2:24" ht="18" x14ac:dyDescent="0.35">
      <c r="B7" s="12" t="s">
        <v>33</v>
      </c>
      <c r="C7" s="12">
        <v>654</v>
      </c>
      <c r="M7" s="12" t="s">
        <v>40</v>
      </c>
      <c r="N7" s="12">
        <v>100</v>
      </c>
      <c r="U7" s="16" t="s">
        <v>45</v>
      </c>
      <c r="V7" s="16" t="s">
        <v>46</v>
      </c>
    </row>
    <row r="8" spans="2:24" x14ac:dyDescent="0.3">
      <c r="B8" s="12" t="s">
        <v>34</v>
      </c>
      <c r="C8" s="12">
        <v>-64</v>
      </c>
      <c r="M8" s="12" t="s">
        <v>41</v>
      </c>
      <c r="N8" s="12">
        <v>60</v>
      </c>
      <c r="U8" s="15">
        <v>10</v>
      </c>
      <c r="V8" s="15">
        <v>189</v>
      </c>
    </row>
    <row r="9" spans="2:24" x14ac:dyDescent="0.3">
      <c r="B9" s="12" t="s">
        <v>35</v>
      </c>
      <c r="C9" s="12">
        <v>763</v>
      </c>
      <c r="U9" s="15">
        <v>12</v>
      </c>
      <c r="V9" s="15">
        <v>190</v>
      </c>
    </row>
    <row r="10" spans="2:24" x14ac:dyDescent="0.3">
      <c r="U10" s="15">
        <v>14</v>
      </c>
      <c r="V10" s="15">
        <v>199</v>
      </c>
    </row>
    <row r="11" spans="2:24" x14ac:dyDescent="0.3">
      <c r="U11" s="15">
        <v>17</v>
      </c>
      <c r="V11" s="15">
        <v>203</v>
      </c>
    </row>
    <row r="12" spans="2:24" x14ac:dyDescent="0.3">
      <c r="U12" s="15">
        <v>20</v>
      </c>
      <c r="V12" s="15">
        <v>233</v>
      </c>
    </row>
    <row r="13" spans="2:24" x14ac:dyDescent="0.3">
      <c r="U13" s="15">
        <v>24</v>
      </c>
      <c r="V13" s="15">
        <v>300</v>
      </c>
    </row>
    <row r="14" spans="2:24" x14ac:dyDescent="0.3">
      <c r="U14" s="15">
        <v>29</v>
      </c>
      <c r="V14" s="15">
        <v>379</v>
      </c>
    </row>
  </sheetData>
  <mergeCells count="1">
    <mergeCell ref="T5:X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B27-A51A-4139-B389-4349E42B080E}">
  <dimension ref="A3:M11"/>
  <sheetViews>
    <sheetView workbookViewId="0">
      <selection activeCell="L4" sqref="L4"/>
    </sheetView>
  </sheetViews>
  <sheetFormatPr defaultRowHeight="14.4" x14ac:dyDescent="0.3"/>
  <cols>
    <col min="1" max="1" width="18.6640625" bestFit="1" customWidth="1"/>
    <col min="2" max="2" width="10.109375" bestFit="1" customWidth="1"/>
    <col min="5" max="5" width="12.44140625" bestFit="1" customWidth="1"/>
    <col min="6" max="6" width="11.5546875" bestFit="1" customWidth="1"/>
    <col min="8" max="8" width="10.5546875" bestFit="1" customWidth="1"/>
    <col min="9" max="9" width="14.6640625" bestFit="1" customWidth="1"/>
    <col min="12" max="12" width="12.44140625" bestFit="1" customWidth="1"/>
    <col min="13" max="13" width="11.5546875" bestFit="1" customWidth="1"/>
  </cols>
  <sheetData>
    <row r="3" spans="1:13" x14ac:dyDescent="0.3">
      <c r="A3" s="4" t="s">
        <v>28</v>
      </c>
      <c r="E3" s="4" t="s">
        <v>25</v>
      </c>
      <c r="F3" t="s">
        <v>24</v>
      </c>
      <c r="I3" t="s">
        <v>26</v>
      </c>
      <c r="L3" s="4" t="s">
        <v>25</v>
      </c>
      <c r="M3" t="s">
        <v>24</v>
      </c>
    </row>
    <row r="4" spans="1:13" x14ac:dyDescent="0.3">
      <c r="A4" s="5" t="s">
        <v>26</v>
      </c>
      <c r="B4" s="6">
        <v>100</v>
      </c>
      <c r="E4" s="5" t="s">
        <v>9</v>
      </c>
      <c r="F4" s="6">
        <v>2900</v>
      </c>
      <c r="H4" s="5" t="s">
        <v>10</v>
      </c>
      <c r="I4" s="6">
        <v>56</v>
      </c>
      <c r="L4" s="5" t="s">
        <v>9</v>
      </c>
      <c r="M4" s="6">
        <v>2900</v>
      </c>
    </row>
    <row r="5" spans="1:13" x14ac:dyDescent="0.3">
      <c r="A5" s="5" t="s">
        <v>27</v>
      </c>
      <c r="B5" s="6">
        <v>147</v>
      </c>
      <c r="E5" s="5" t="s">
        <v>15</v>
      </c>
      <c r="F5" s="6">
        <v>6825</v>
      </c>
      <c r="H5" s="5" t="s">
        <v>16</v>
      </c>
      <c r="I5" s="6">
        <v>44</v>
      </c>
      <c r="L5" s="5" t="s">
        <v>15</v>
      </c>
      <c r="M5" s="6">
        <v>6825</v>
      </c>
    </row>
    <row r="6" spans="1:13" x14ac:dyDescent="0.3">
      <c r="A6" s="5" t="s">
        <v>24</v>
      </c>
      <c r="B6" s="7">
        <v>12225</v>
      </c>
      <c r="E6" s="5" t="s">
        <v>13</v>
      </c>
      <c r="F6" s="6">
        <v>1925</v>
      </c>
      <c r="H6" s="5" t="s">
        <v>21</v>
      </c>
      <c r="I6" s="6">
        <v>100</v>
      </c>
      <c r="L6" s="5" t="s">
        <v>13</v>
      </c>
      <c r="M6" s="6">
        <v>1925</v>
      </c>
    </row>
    <row r="7" spans="1:13" x14ac:dyDescent="0.3">
      <c r="E7" s="5" t="s">
        <v>18</v>
      </c>
      <c r="F7" s="6">
        <v>575</v>
      </c>
      <c r="L7" s="5" t="s">
        <v>18</v>
      </c>
      <c r="M7" s="6">
        <v>575</v>
      </c>
    </row>
    <row r="8" spans="1:13" x14ac:dyDescent="0.3">
      <c r="E8" s="5" t="s">
        <v>21</v>
      </c>
      <c r="F8" s="6">
        <v>12225</v>
      </c>
      <c r="L8" s="5" t="s">
        <v>21</v>
      </c>
      <c r="M8" s="6">
        <v>12225</v>
      </c>
    </row>
    <row r="9" spans="1:13" x14ac:dyDescent="0.3">
      <c r="A9" s="8" t="s">
        <v>29</v>
      </c>
      <c r="B9" s="2">
        <f>GETPIVOTDATA("Count of TradeID",$A$3)</f>
        <v>100</v>
      </c>
    </row>
    <row r="10" spans="1:13" x14ac:dyDescent="0.3">
      <c r="A10" s="9" t="s">
        <v>30</v>
      </c>
      <c r="B10" s="9">
        <f>GETPIVOTDATA("Average of Profit per R",$A$3)</f>
        <v>147</v>
      </c>
    </row>
    <row r="11" spans="1:13" x14ac:dyDescent="0.3">
      <c r="A11" s="10" t="s">
        <v>31</v>
      </c>
      <c r="B11" s="11">
        <f>GETPIVOTDATA("Sum of Profit",$A$3)</f>
        <v>12225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2C958-9FC5-45C7-B06E-A5AB8F93831F}">
  <dimension ref="A1:K101"/>
  <sheetViews>
    <sheetView topLeftCell="A2" workbookViewId="0">
      <selection activeCell="H10" sqref="H10"/>
    </sheetView>
  </sheetViews>
  <sheetFormatPr defaultRowHeight="14.4" x14ac:dyDescent="0.3"/>
  <cols>
    <col min="1" max="1" width="9.6640625" bestFit="1" customWidth="1"/>
    <col min="2" max="2" width="11.77734375" bestFit="1" customWidth="1"/>
    <col min="3" max="3" width="8" bestFit="1" customWidth="1"/>
    <col min="4" max="4" width="9.6640625" bestFit="1" customWidth="1"/>
    <col min="5" max="5" width="10.88671875" bestFit="1" customWidth="1"/>
    <col min="6" max="6" width="7.77734375" bestFit="1" customWidth="1"/>
    <col min="7" max="7" width="4.6640625" bestFit="1" customWidth="1"/>
    <col min="8" max="8" width="12.44140625" bestFit="1" customWidth="1"/>
    <col min="9" max="9" width="12.33203125" bestFit="1" customWidth="1"/>
    <col min="10" max="10" width="8.44140625" bestFit="1" customWidth="1"/>
    <col min="11" max="11" width="11.77734375" bestFit="1" customWidth="1"/>
  </cols>
  <sheetData>
    <row r="1" spans="1:11" x14ac:dyDescent="0.3">
      <c r="A1" t="s">
        <v>0</v>
      </c>
      <c r="B1" t="s">
        <v>1</v>
      </c>
      <c r="C1" t="s">
        <v>2</v>
      </c>
      <c r="D1" t="s">
        <v>3</v>
      </c>
      <c r="E1" t="s">
        <v>4</v>
      </c>
      <c r="F1" t="s">
        <v>5</v>
      </c>
      <c r="G1" t="s">
        <v>6</v>
      </c>
      <c r="H1" t="s">
        <v>19</v>
      </c>
      <c r="I1" t="s">
        <v>20</v>
      </c>
      <c r="J1" t="s">
        <v>7</v>
      </c>
      <c r="K1" t="s">
        <v>8</v>
      </c>
    </row>
    <row r="2" spans="1:11" x14ac:dyDescent="0.3">
      <c r="A2">
        <v>6</v>
      </c>
      <c r="B2">
        <v>10005</v>
      </c>
      <c r="C2" s="6" t="s">
        <v>9</v>
      </c>
      <c r="D2" s="6" t="s">
        <v>16</v>
      </c>
      <c r="E2" s="6" t="s">
        <v>14</v>
      </c>
      <c r="F2">
        <v>600</v>
      </c>
      <c r="G2">
        <v>3</v>
      </c>
      <c r="H2" s="6" t="s">
        <v>22</v>
      </c>
      <c r="I2">
        <v>200</v>
      </c>
      <c r="J2" s="6" t="s">
        <v>12</v>
      </c>
      <c r="K2" s="1">
        <v>46164</v>
      </c>
    </row>
    <row r="3" spans="1:11" x14ac:dyDescent="0.3">
      <c r="A3">
        <v>80</v>
      </c>
      <c r="B3">
        <v>10006</v>
      </c>
      <c r="C3" s="6" t="s">
        <v>9</v>
      </c>
      <c r="D3" s="6" t="s">
        <v>16</v>
      </c>
      <c r="E3" s="6" t="s">
        <v>11</v>
      </c>
      <c r="F3">
        <v>600</v>
      </c>
      <c r="G3">
        <v>3</v>
      </c>
      <c r="H3" s="6" t="s">
        <v>22</v>
      </c>
      <c r="I3">
        <v>200</v>
      </c>
      <c r="J3" s="6" t="s">
        <v>12</v>
      </c>
      <c r="K3" s="1">
        <v>46171</v>
      </c>
    </row>
    <row r="4" spans="1:11" x14ac:dyDescent="0.3">
      <c r="A4">
        <v>16</v>
      </c>
      <c r="B4">
        <v>10006</v>
      </c>
      <c r="C4" s="6" t="s">
        <v>9</v>
      </c>
      <c r="D4" s="6" t="s">
        <v>10</v>
      </c>
      <c r="E4" s="6" t="s">
        <v>11</v>
      </c>
      <c r="F4">
        <v>500</v>
      </c>
      <c r="G4">
        <v>2</v>
      </c>
      <c r="H4" s="6" t="s">
        <v>22</v>
      </c>
      <c r="I4">
        <v>250</v>
      </c>
      <c r="J4" s="6" t="s">
        <v>12</v>
      </c>
      <c r="K4" s="1">
        <v>46168</v>
      </c>
    </row>
    <row r="5" spans="1:11" x14ac:dyDescent="0.3">
      <c r="A5">
        <v>78</v>
      </c>
      <c r="B5">
        <v>10001</v>
      </c>
      <c r="C5" s="6" t="s">
        <v>9</v>
      </c>
      <c r="D5" s="6" t="s">
        <v>10</v>
      </c>
      <c r="E5" s="6" t="s">
        <v>11</v>
      </c>
      <c r="F5">
        <v>500</v>
      </c>
      <c r="G5">
        <v>2</v>
      </c>
      <c r="H5" s="6" t="s">
        <v>22</v>
      </c>
      <c r="I5">
        <v>250</v>
      </c>
      <c r="J5" s="6" t="s">
        <v>12</v>
      </c>
      <c r="K5" s="1">
        <v>46182</v>
      </c>
    </row>
    <row r="6" spans="1:11" x14ac:dyDescent="0.3">
      <c r="A6">
        <v>35</v>
      </c>
      <c r="B6">
        <v>10005</v>
      </c>
      <c r="C6" s="6" t="s">
        <v>9</v>
      </c>
      <c r="D6" s="6" t="s">
        <v>10</v>
      </c>
      <c r="E6" s="6" t="s">
        <v>14</v>
      </c>
      <c r="F6">
        <v>375</v>
      </c>
      <c r="G6">
        <v>1.5</v>
      </c>
      <c r="H6" s="6" t="s">
        <v>23</v>
      </c>
      <c r="I6">
        <v>250</v>
      </c>
      <c r="J6" s="6" t="s">
        <v>12</v>
      </c>
      <c r="K6" s="1">
        <v>46041</v>
      </c>
    </row>
    <row r="7" spans="1:11" x14ac:dyDescent="0.3">
      <c r="A7">
        <v>45</v>
      </c>
      <c r="B7">
        <v>10003</v>
      </c>
      <c r="C7" s="6" t="s">
        <v>9</v>
      </c>
      <c r="D7" s="6" t="s">
        <v>10</v>
      </c>
      <c r="E7" s="6" t="s">
        <v>14</v>
      </c>
      <c r="F7">
        <v>375</v>
      </c>
      <c r="G7">
        <v>1.5</v>
      </c>
      <c r="H7" s="6" t="s">
        <v>23</v>
      </c>
      <c r="I7">
        <v>250</v>
      </c>
      <c r="J7" s="6" t="s">
        <v>12</v>
      </c>
      <c r="K7" s="1">
        <v>46055</v>
      </c>
    </row>
    <row r="8" spans="1:11" x14ac:dyDescent="0.3">
      <c r="A8">
        <v>43</v>
      </c>
      <c r="B8">
        <v>10003</v>
      </c>
      <c r="C8" s="6" t="s">
        <v>9</v>
      </c>
      <c r="D8" s="6" t="s">
        <v>10</v>
      </c>
      <c r="E8" s="6" t="s">
        <v>11</v>
      </c>
      <c r="F8">
        <v>200</v>
      </c>
      <c r="G8">
        <v>2</v>
      </c>
      <c r="H8" s="6" t="s">
        <v>22</v>
      </c>
      <c r="I8">
        <v>100</v>
      </c>
      <c r="J8" s="6" t="s">
        <v>12</v>
      </c>
      <c r="K8" s="1">
        <v>46091</v>
      </c>
    </row>
    <row r="9" spans="1:11" x14ac:dyDescent="0.3">
      <c r="A9">
        <v>77</v>
      </c>
      <c r="B9">
        <v>10006</v>
      </c>
      <c r="C9" s="6" t="s">
        <v>9</v>
      </c>
      <c r="D9" s="6" t="s">
        <v>10</v>
      </c>
      <c r="E9" s="6" t="s">
        <v>11</v>
      </c>
      <c r="F9">
        <v>200</v>
      </c>
      <c r="G9">
        <v>2</v>
      </c>
      <c r="H9" s="6" t="s">
        <v>22</v>
      </c>
      <c r="I9">
        <v>100</v>
      </c>
      <c r="J9" s="6" t="s">
        <v>12</v>
      </c>
      <c r="K9" s="1">
        <v>46198</v>
      </c>
    </row>
    <row r="10" spans="1:11" x14ac:dyDescent="0.3">
      <c r="A10">
        <v>99</v>
      </c>
      <c r="B10">
        <v>10006</v>
      </c>
      <c r="C10" s="6" t="s">
        <v>9</v>
      </c>
      <c r="D10" s="6" t="s">
        <v>10</v>
      </c>
      <c r="E10" s="6" t="s">
        <v>11</v>
      </c>
      <c r="F10">
        <v>125</v>
      </c>
      <c r="G10">
        <v>2.5</v>
      </c>
      <c r="H10" s="6" t="s">
        <v>22</v>
      </c>
      <c r="I10">
        <v>50</v>
      </c>
      <c r="J10" s="6" t="s">
        <v>12</v>
      </c>
      <c r="K10" s="1">
        <v>46101</v>
      </c>
    </row>
    <row r="11" spans="1:11" x14ac:dyDescent="0.3">
      <c r="A11">
        <v>97</v>
      </c>
      <c r="B11">
        <v>10006</v>
      </c>
      <c r="C11" s="6" t="s">
        <v>9</v>
      </c>
      <c r="D11" s="6" t="s">
        <v>10</v>
      </c>
      <c r="E11" s="6" t="s">
        <v>14</v>
      </c>
      <c r="F11">
        <v>100</v>
      </c>
      <c r="G11">
        <v>1</v>
      </c>
      <c r="H11" s="6" t="s">
        <v>23</v>
      </c>
      <c r="I11">
        <v>100</v>
      </c>
      <c r="J11" s="6" t="s">
        <v>12</v>
      </c>
      <c r="K11" s="1">
        <v>46172</v>
      </c>
    </row>
    <row r="12" spans="1:11" x14ac:dyDescent="0.3">
      <c r="A12">
        <v>93</v>
      </c>
      <c r="B12">
        <v>10004</v>
      </c>
      <c r="C12" s="6" t="s">
        <v>9</v>
      </c>
      <c r="D12" s="6" t="s">
        <v>16</v>
      </c>
      <c r="E12" s="6" t="s">
        <v>11</v>
      </c>
      <c r="F12">
        <v>75</v>
      </c>
      <c r="G12">
        <v>1.5</v>
      </c>
      <c r="H12" s="6" t="s">
        <v>23</v>
      </c>
      <c r="I12">
        <v>50</v>
      </c>
      <c r="J12" s="6" t="s">
        <v>12</v>
      </c>
      <c r="K12" s="1">
        <v>46053</v>
      </c>
    </row>
    <row r="13" spans="1:11" x14ac:dyDescent="0.3">
      <c r="A13">
        <v>1</v>
      </c>
      <c r="B13">
        <v>10002</v>
      </c>
      <c r="C13" s="6" t="s">
        <v>9</v>
      </c>
      <c r="D13" s="6" t="s">
        <v>10</v>
      </c>
      <c r="E13" s="6" t="s">
        <v>11</v>
      </c>
      <c r="F13">
        <v>50</v>
      </c>
      <c r="G13">
        <v>1</v>
      </c>
      <c r="H13" s="6" t="s">
        <v>23</v>
      </c>
      <c r="I13">
        <v>50</v>
      </c>
      <c r="J13" s="6" t="s">
        <v>12</v>
      </c>
      <c r="K13" s="1">
        <v>46190</v>
      </c>
    </row>
    <row r="14" spans="1:11" x14ac:dyDescent="0.3">
      <c r="A14">
        <v>38</v>
      </c>
      <c r="B14">
        <v>10005</v>
      </c>
      <c r="C14" s="6" t="s">
        <v>9</v>
      </c>
      <c r="D14" s="6" t="s">
        <v>10</v>
      </c>
      <c r="E14" s="6" t="s">
        <v>11</v>
      </c>
      <c r="F14">
        <v>-25</v>
      </c>
      <c r="G14">
        <v>-0.5</v>
      </c>
      <c r="H14" s="6" t="s">
        <v>23</v>
      </c>
      <c r="I14">
        <v>50</v>
      </c>
      <c r="J14" s="6" t="s">
        <v>17</v>
      </c>
      <c r="K14" s="1">
        <v>46107</v>
      </c>
    </row>
    <row r="15" spans="1:11" x14ac:dyDescent="0.3">
      <c r="A15">
        <v>30</v>
      </c>
      <c r="B15">
        <v>10001</v>
      </c>
      <c r="C15" s="6" t="s">
        <v>9</v>
      </c>
      <c r="D15" s="6" t="s">
        <v>10</v>
      </c>
      <c r="E15" s="6" t="s">
        <v>14</v>
      </c>
      <c r="F15">
        <v>-50</v>
      </c>
      <c r="G15">
        <v>-0.5</v>
      </c>
      <c r="H15" s="6" t="s">
        <v>23</v>
      </c>
      <c r="I15">
        <v>100</v>
      </c>
      <c r="J15" s="6" t="s">
        <v>17</v>
      </c>
      <c r="K15" s="1">
        <v>46167</v>
      </c>
    </row>
    <row r="16" spans="1:11" x14ac:dyDescent="0.3">
      <c r="A16">
        <v>46</v>
      </c>
      <c r="B16">
        <v>10001</v>
      </c>
      <c r="C16" s="6" t="s">
        <v>9</v>
      </c>
      <c r="D16" s="6" t="s">
        <v>16</v>
      </c>
      <c r="E16" s="6" t="s">
        <v>11</v>
      </c>
      <c r="F16">
        <v>-50</v>
      </c>
      <c r="G16">
        <v>-0.5</v>
      </c>
      <c r="H16" s="6" t="s">
        <v>23</v>
      </c>
      <c r="I16">
        <v>100</v>
      </c>
      <c r="J16" s="6" t="s">
        <v>17</v>
      </c>
      <c r="K16" s="1">
        <v>46059</v>
      </c>
    </row>
    <row r="17" spans="1:11" x14ac:dyDescent="0.3">
      <c r="A17">
        <v>47</v>
      </c>
      <c r="B17">
        <v>10005</v>
      </c>
      <c r="C17" s="6" t="s">
        <v>9</v>
      </c>
      <c r="D17" s="6" t="s">
        <v>16</v>
      </c>
      <c r="E17" s="6" t="s">
        <v>11</v>
      </c>
      <c r="F17">
        <v>-50</v>
      </c>
      <c r="G17">
        <v>-0.5</v>
      </c>
      <c r="H17" s="6" t="s">
        <v>23</v>
      </c>
      <c r="I17">
        <v>100</v>
      </c>
      <c r="J17" s="6" t="s">
        <v>17</v>
      </c>
      <c r="K17" s="1">
        <v>46197</v>
      </c>
    </row>
    <row r="18" spans="1:11" x14ac:dyDescent="0.3">
      <c r="A18">
        <v>52</v>
      </c>
      <c r="B18">
        <v>10005</v>
      </c>
      <c r="C18" s="6" t="s">
        <v>9</v>
      </c>
      <c r="D18" s="6" t="s">
        <v>16</v>
      </c>
      <c r="E18" s="6" t="s">
        <v>14</v>
      </c>
      <c r="F18">
        <v>-50</v>
      </c>
      <c r="G18">
        <v>-1</v>
      </c>
      <c r="H18" s="6" t="s">
        <v>23</v>
      </c>
      <c r="I18">
        <v>50</v>
      </c>
      <c r="J18" s="6" t="s">
        <v>17</v>
      </c>
      <c r="K18" s="1">
        <v>46034</v>
      </c>
    </row>
    <row r="19" spans="1:11" x14ac:dyDescent="0.3">
      <c r="A19">
        <v>8</v>
      </c>
      <c r="B19">
        <v>10004</v>
      </c>
      <c r="C19" s="6" t="s">
        <v>9</v>
      </c>
      <c r="D19" s="6" t="s">
        <v>16</v>
      </c>
      <c r="E19" s="6" t="s">
        <v>11</v>
      </c>
      <c r="F19">
        <v>-100</v>
      </c>
      <c r="G19">
        <v>-1</v>
      </c>
      <c r="H19" s="6" t="s">
        <v>23</v>
      </c>
      <c r="I19">
        <v>100</v>
      </c>
      <c r="J19" s="6" t="s">
        <v>17</v>
      </c>
      <c r="K19" s="1">
        <v>46086</v>
      </c>
    </row>
    <row r="20" spans="1:11" x14ac:dyDescent="0.3">
      <c r="A20">
        <v>70</v>
      </c>
      <c r="B20">
        <v>10004</v>
      </c>
      <c r="C20" s="6" t="s">
        <v>9</v>
      </c>
      <c r="D20" s="6" t="s">
        <v>16</v>
      </c>
      <c r="E20" s="6" t="s">
        <v>11</v>
      </c>
      <c r="F20">
        <v>-100</v>
      </c>
      <c r="G20">
        <v>-1</v>
      </c>
      <c r="H20" s="6" t="s">
        <v>23</v>
      </c>
      <c r="I20">
        <v>100</v>
      </c>
      <c r="J20" s="6" t="s">
        <v>17</v>
      </c>
      <c r="K20" s="1">
        <v>46149</v>
      </c>
    </row>
    <row r="21" spans="1:11" x14ac:dyDescent="0.3">
      <c r="A21">
        <v>86</v>
      </c>
      <c r="B21">
        <v>10002</v>
      </c>
      <c r="C21" s="6" t="s">
        <v>9</v>
      </c>
      <c r="D21" s="6" t="s">
        <v>10</v>
      </c>
      <c r="E21" s="6" t="s">
        <v>14</v>
      </c>
      <c r="F21">
        <v>-100</v>
      </c>
      <c r="G21">
        <v>-1</v>
      </c>
      <c r="H21" s="6" t="s">
        <v>23</v>
      </c>
      <c r="I21">
        <v>100</v>
      </c>
      <c r="J21" s="6" t="s">
        <v>17</v>
      </c>
      <c r="K21" s="1">
        <v>46169</v>
      </c>
    </row>
    <row r="22" spans="1:11" x14ac:dyDescent="0.3">
      <c r="A22">
        <v>61</v>
      </c>
      <c r="B22">
        <v>10005</v>
      </c>
      <c r="C22" s="6" t="s">
        <v>9</v>
      </c>
      <c r="D22" s="6" t="s">
        <v>10</v>
      </c>
      <c r="E22" s="6" t="s">
        <v>11</v>
      </c>
      <c r="F22">
        <v>-125</v>
      </c>
      <c r="G22">
        <v>-0.5</v>
      </c>
      <c r="H22" s="6" t="s">
        <v>23</v>
      </c>
      <c r="I22">
        <v>250</v>
      </c>
      <c r="J22" s="6" t="s">
        <v>17</v>
      </c>
      <c r="K22" s="1">
        <v>46033</v>
      </c>
    </row>
    <row r="23" spans="1:11" x14ac:dyDescent="0.3">
      <c r="A23">
        <v>34</v>
      </c>
      <c r="B23">
        <v>10005</v>
      </c>
      <c r="C23" s="6" t="s">
        <v>9</v>
      </c>
      <c r="D23" s="6" t="s">
        <v>10</v>
      </c>
      <c r="E23" s="6" t="s">
        <v>11</v>
      </c>
      <c r="F23">
        <v>-150</v>
      </c>
      <c r="G23">
        <v>-1.5</v>
      </c>
      <c r="H23" s="6" t="s">
        <v>23</v>
      </c>
      <c r="I23">
        <v>100</v>
      </c>
      <c r="J23" s="6" t="s">
        <v>17</v>
      </c>
      <c r="K23" s="1">
        <v>46107</v>
      </c>
    </row>
    <row r="24" spans="1:11" x14ac:dyDescent="0.3">
      <c r="A24">
        <v>13</v>
      </c>
      <c r="B24">
        <v>10006</v>
      </c>
      <c r="C24" s="6" t="s">
        <v>15</v>
      </c>
      <c r="D24" s="6" t="s">
        <v>10</v>
      </c>
      <c r="E24" s="6" t="s">
        <v>11</v>
      </c>
      <c r="F24">
        <v>750</v>
      </c>
      <c r="G24">
        <v>3</v>
      </c>
      <c r="H24" s="6" t="s">
        <v>22</v>
      </c>
      <c r="I24">
        <v>250</v>
      </c>
      <c r="J24" s="6" t="s">
        <v>12</v>
      </c>
      <c r="K24" s="1">
        <v>46094</v>
      </c>
    </row>
    <row r="25" spans="1:11" x14ac:dyDescent="0.3">
      <c r="A25">
        <v>98</v>
      </c>
      <c r="B25">
        <v>10001</v>
      </c>
      <c r="C25" s="6" t="s">
        <v>15</v>
      </c>
      <c r="D25" s="6" t="s">
        <v>10</v>
      </c>
      <c r="E25" s="6" t="s">
        <v>14</v>
      </c>
      <c r="F25">
        <v>750</v>
      </c>
      <c r="G25">
        <v>3</v>
      </c>
      <c r="H25" s="6" t="s">
        <v>22</v>
      </c>
      <c r="I25">
        <v>250</v>
      </c>
      <c r="J25" s="6" t="s">
        <v>12</v>
      </c>
      <c r="K25" s="1">
        <v>46088</v>
      </c>
    </row>
    <row r="26" spans="1:11" x14ac:dyDescent="0.3">
      <c r="A26">
        <v>68</v>
      </c>
      <c r="B26">
        <v>10004</v>
      </c>
      <c r="C26" s="6" t="s">
        <v>15</v>
      </c>
      <c r="D26" s="6" t="s">
        <v>10</v>
      </c>
      <c r="E26" s="6" t="s">
        <v>11</v>
      </c>
      <c r="F26">
        <v>625</v>
      </c>
      <c r="G26">
        <v>2.5</v>
      </c>
      <c r="H26" s="6" t="s">
        <v>22</v>
      </c>
      <c r="I26">
        <v>250</v>
      </c>
      <c r="J26" s="6" t="s">
        <v>12</v>
      </c>
      <c r="K26" s="1">
        <v>46207</v>
      </c>
    </row>
    <row r="27" spans="1:11" x14ac:dyDescent="0.3">
      <c r="A27">
        <v>85</v>
      </c>
      <c r="B27">
        <v>10003</v>
      </c>
      <c r="C27" s="6" t="s">
        <v>15</v>
      </c>
      <c r="D27" s="6" t="s">
        <v>16</v>
      </c>
      <c r="E27" s="6" t="s">
        <v>11</v>
      </c>
      <c r="F27">
        <v>600</v>
      </c>
      <c r="G27">
        <v>3</v>
      </c>
      <c r="H27" s="6" t="s">
        <v>22</v>
      </c>
      <c r="I27">
        <v>200</v>
      </c>
      <c r="J27" s="6" t="s">
        <v>12</v>
      </c>
      <c r="K27" s="1">
        <v>46151</v>
      </c>
    </row>
    <row r="28" spans="1:11" x14ac:dyDescent="0.3">
      <c r="A28">
        <v>15</v>
      </c>
      <c r="B28">
        <v>10004</v>
      </c>
      <c r="C28" s="6" t="s">
        <v>15</v>
      </c>
      <c r="D28" s="6" t="s">
        <v>16</v>
      </c>
      <c r="E28" s="6" t="s">
        <v>14</v>
      </c>
      <c r="F28">
        <v>500</v>
      </c>
      <c r="G28">
        <v>2.5</v>
      </c>
      <c r="H28" s="6" t="s">
        <v>22</v>
      </c>
      <c r="I28">
        <v>200</v>
      </c>
      <c r="J28" s="6" t="s">
        <v>12</v>
      </c>
      <c r="K28" s="1">
        <v>46187</v>
      </c>
    </row>
    <row r="29" spans="1:11" x14ac:dyDescent="0.3">
      <c r="A29">
        <v>37</v>
      </c>
      <c r="B29">
        <v>10003</v>
      </c>
      <c r="C29" s="6" t="s">
        <v>15</v>
      </c>
      <c r="D29" s="6" t="s">
        <v>16</v>
      </c>
      <c r="E29" s="6" t="s">
        <v>14</v>
      </c>
      <c r="F29">
        <v>500</v>
      </c>
      <c r="G29">
        <v>2</v>
      </c>
      <c r="H29" s="6" t="s">
        <v>22</v>
      </c>
      <c r="I29">
        <v>250</v>
      </c>
      <c r="J29" s="6" t="s">
        <v>12</v>
      </c>
      <c r="K29" s="1">
        <v>46093</v>
      </c>
    </row>
    <row r="30" spans="1:11" x14ac:dyDescent="0.3">
      <c r="A30">
        <v>71</v>
      </c>
      <c r="B30">
        <v>10004</v>
      </c>
      <c r="C30" s="6" t="s">
        <v>15</v>
      </c>
      <c r="D30" s="6" t="s">
        <v>16</v>
      </c>
      <c r="E30" s="6" t="s">
        <v>11</v>
      </c>
      <c r="F30">
        <v>500</v>
      </c>
      <c r="G30">
        <v>2</v>
      </c>
      <c r="H30" s="6" t="s">
        <v>22</v>
      </c>
      <c r="I30">
        <v>250</v>
      </c>
      <c r="J30" s="6" t="s">
        <v>12</v>
      </c>
      <c r="K30" s="1">
        <v>46151</v>
      </c>
    </row>
    <row r="31" spans="1:11" x14ac:dyDescent="0.3">
      <c r="A31">
        <v>88</v>
      </c>
      <c r="B31">
        <v>10004</v>
      </c>
      <c r="C31" s="6" t="s">
        <v>15</v>
      </c>
      <c r="D31" s="6" t="s">
        <v>16</v>
      </c>
      <c r="E31" s="6" t="s">
        <v>11</v>
      </c>
      <c r="F31">
        <v>500</v>
      </c>
      <c r="G31">
        <v>2</v>
      </c>
      <c r="H31" s="6" t="s">
        <v>22</v>
      </c>
      <c r="I31">
        <v>250</v>
      </c>
      <c r="J31" s="6" t="s">
        <v>12</v>
      </c>
      <c r="K31" s="1">
        <v>46204</v>
      </c>
    </row>
    <row r="32" spans="1:11" x14ac:dyDescent="0.3">
      <c r="A32">
        <v>76</v>
      </c>
      <c r="B32">
        <v>10005</v>
      </c>
      <c r="C32" s="6" t="s">
        <v>15</v>
      </c>
      <c r="D32" s="6" t="s">
        <v>10</v>
      </c>
      <c r="E32" s="6" t="s">
        <v>14</v>
      </c>
      <c r="F32">
        <v>375</v>
      </c>
      <c r="G32">
        <v>1.5</v>
      </c>
      <c r="H32" s="6" t="s">
        <v>23</v>
      </c>
      <c r="I32">
        <v>250</v>
      </c>
      <c r="J32" s="6" t="s">
        <v>12</v>
      </c>
      <c r="K32" s="1">
        <v>46034</v>
      </c>
    </row>
    <row r="33" spans="1:11" x14ac:dyDescent="0.3">
      <c r="A33">
        <v>92</v>
      </c>
      <c r="B33">
        <v>10001</v>
      </c>
      <c r="C33" s="6" t="s">
        <v>15</v>
      </c>
      <c r="D33" s="6" t="s">
        <v>16</v>
      </c>
      <c r="E33" s="6" t="s">
        <v>14</v>
      </c>
      <c r="F33">
        <v>375</v>
      </c>
      <c r="G33">
        <v>1.5</v>
      </c>
      <c r="H33" s="6" t="s">
        <v>23</v>
      </c>
      <c r="I33">
        <v>250</v>
      </c>
      <c r="J33" s="6" t="s">
        <v>12</v>
      </c>
      <c r="K33" s="1">
        <v>46030</v>
      </c>
    </row>
    <row r="34" spans="1:11" x14ac:dyDescent="0.3">
      <c r="A34">
        <v>10</v>
      </c>
      <c r="B34">
        <v>10004</v>
      </c>
      <c r="C34" s="6" t="s">
        <v>15</v>
      </c>
      <c r="D34" s="6" t="s">
        <v>10</v>
      </c>
      <c r="E34" s="6" t="s">
        <v>14</v>
      </c>
      <c r="F34">
        <v>300</v>
      </c>
      <c r="G34">
        <v>3</v>
      </c>
      <c r="H34" s="6" t="s">
        <v>22</v>
      </c>
      <c r="I34">
        <v>100</v>
      </c>
      <c r="J34" s="6" t="s">
        <v>12</v>
      </c>
      <c r="K34" s="1">
        <v>46182</v>
      </c>
    </row>
    <row r="35" spans="1:11" x14ac:dyDescent="0.3">
      <c r="A35">
        <v>23</v>
      </c>
      <c r="B35">
        <v>10003</v>
      </c>
      <c r="C35" s="6" t="s">
        <v>15</v>
      </c>
      <c r="D35" s="6" t="s">
        <v>10</v>
      </c>
      <c r="E35" s="6" t="s">
        <v>14</v>
      </c>
      <c r="F35">
        <v>300</v>
      </c>
      <c r="G35">
        <v>3</v>
      </c>
      <c r="H35" s="6" t="s">
        <v>22</v>
      </c>
      <c r="I35">
        <v>100</v>
      </c>
      <c r="J35" s="6" t="s">
        <v>12</v>
      </c>
      <c r="K35" s="1">
        <v>46057</v>
      </c>
    </row>
    <row r="36" spans="1:11" x14ac:dyDescent="0.3">
      <c r="A36">
        <v>54</v>
      </c>
      <c r="B36">
        <v>10006</v>
      </c>
      <c r="C36" s="6" t="s">
        <v>15</v>
      </c>
      <c r="D36" s="6" t="s">
        <v>16</v>
      </c>
      <c r="E36" s="6" t="s">
        <v>14</v>
      </c>
      <c r="F36">
        <v>300</v>
      </c>
      <c r="G36">
        <v>3</v>
      </c>
      <c r="H36" s="6" t="s">
        <v>22</v>
      </c>
      <c r="I36">
        <v>100</v>
      </c>
      <c r="J36" s="6" t="s">
        <v>12</v>
      </c>
      <c r="K36" s="1">
        <v>46125</v>
      </c>
    </row>
    <row r="37" spans="1:11" x14ac:dyDescent="0.3">
      <c r="A37">
        <v>12</v>
      </c>
      <c r="B37">
        <v>10006</v>
      </c>
      <c r="C37" s="6" t="s">
        <v>15</v>
      </c>
      <c r="D37" s="6" t="s">
        <v>16</v>
      </c>
      <c r="E37" s="6" t="s">
        <v>14</v>
      </c>
      <c r="F37">
        <v>250</v>
      </c>
      <c r="G37">
        <v>2.5</v>
      </c>
      <c r="H37" s="6" t="s">
        <v>22</v>
      </c>
      <c r="I37">
        <v>100</v>
      </c>
      <c r="J37" s="6" t="s">
        <v>12</v>
      </c>
      <c r="K37" s="1">
        <v>46043</v>
      </c>
    </row>
    <row r="38" spans="1:11" x14ac:dyDescent="0.3">
      <c r="A38">
        <v>63</v>
      </c>
      <c r="B38">
        <v>10001</v>
      </c>
      <c r="C38" s="6" t="s">
        <v>15</v>
      </c>
      <c r="D38" s="6" t="s">
        <v>10</v>
      </c>
      <c r="E38" s="6" t="s">
        <v>11</v>
      </c>
      <c r="F38">
        <v>250</v>
      </c>
      <c r="G38">
        <v>1</v>
      </c>
      <c r="H38" s="6" t="s">
        <v>23</v>
      </c>
      <c r="I38">
        <v>250</v>
      </c>
      <c r="J38" s="6" t="s">
        <v>12</v>
      </c>
      <c r="K38" s="1">
        <v>46135</v>
      </c>
    </row>
    <row r="39" spans="1:11" x14ac:dyDescent="0.3">
      <c r="A39">
        <v>95</v>
      </c>
      <c r="B39">
        <v>10002</v>
      </c>
      <c r="C39" s="6" t="s">
        <v>15</v>
      </c>
      <c r="D39" s="6" t="s">
        <v>16</v>
      </c>
      <c r="E39" s="6" t="s">
        <v>14</v>
      </c>
      <c r="F39">
        <v>250</v>
      </c>
      <c r="G39">
        <v>2.5</v>
      </c>
      <c r="H39" s="6" t="s">
        <v>22</v>
      </c>
      <c r="I39">
        <v>100</v>
      </c>
      <c r="J39" s="6" t="s">
        <v>12</v>
      </c>
      <c r="K39" s="1">
        <v>46065</v>
      </c>
    </row>
    <row r="40" spans="1:11" x14ac:dyDescent="0.3">
      <c r="A40">
        <v>84</v>
      </c>
      <c r="B40">
        <v>10003</v>
      </c>
      <c r="C40" s="6" t="s">
        <v>15</v>
      </c>
      <c r="D40" s="6" t="s">
        <v>16</v>
      </c>
      <c r="E40" s="6" t="s">
        <v>11</v>
      </c>
      <c r="F40">
        <v>200</v>
      </c>
      <c r="G40">
        <v>2</v>
      </c>
      <c r="H40" s="6" t="s">
        <v>22</v>
      </c>
      <c r="I40">
        <v>100</v>
      </c>
      <c r="J40" s="6" t="s">
        <v>12</v>
      </c>
      <c r="K40" s="1">
        <v>46142</v>
      </c>
    </row>
    <row r="41" spans="1:11" x14ac:dyDescent="0.3">
      <c r="A41">
        <v>33</v>
      </c>
      <c r="B41">
        <v>10001</v>
      </c>
      <c r="C41" s="6" t="s">
        <v>15</v>
      </c>
      <c r="D41" s="6" t="s">
        <v>16</v>
      </c>
      <c r="E41" s="6" t="s">
        <v>14</v>
      </c>
      <c r="F41">
        <v>150</v>
      </c>
      <c r="G41">
        <v>3</v>
      </c>
      <c r="H41" s="6" t="s">
        <v>22</v>
      </c>
      <c r="I41">
        <v>50</v>
      </c>
      <c r="J41" s="6" t="s">
        <v>12</v>
      </c>
      <c r="K41" s="1">
        <v>46066</v>
      </c>
    </row>
    <row r="42" spans="1:11" x14ac:dyDescent="0.3">
      <c r="A42">
        <v>100</v>
      </c>
      <c r="B42">
        <v>10004</v>
      </c>
      <c r="C42" s="6" t="s">
        <v>15</v>
      </c>
      <c r="D42" s="6" t="s">
        <v>16</v>
      </c>
      <c r="E42" s="6" t="s">
        <v>14</v>
      </c>
      <c r="F42">
        <v>150</v>
      </c>
      <c r="G42">
        <v>1.5</v>
      </c>
      <c r="H42" s="6" t="s">
        <v>23</v>
      </c>
      <c r="I42">
        <v>100</v>
      </c>
      <c r="J42" s="6" t="s">
        <v>12</v>
      </c>
      <c r="K42" s="1">
        <v>46202</v>
      </c>
    </row>
    <row r="43" spans="1:11" x14ac:dyDescent="0.3">
      <c r="A43">
        <v>3</v>
      </c>
      <c r="B43">
        <v>10004</v>
      </c>
      <c r="C43" s="6" t="s">
        <v>15</v>
      </c>
      <c r="D43" s="6" t="s">
        <v>16</v>
      </c>
      <c r="E43" s="6" t="s">
        <v>14</v>
      </c>
      <c r="F43">
        <v>100</v>
      </c>
      <c r="G43">
        <v>1</v>
      </c>
      <c r="H43" s="6" t="s">
        <v>23</v>
      </c>
      <c r="I43">
        <v>100</v>
      </c>
      <c r="J43" s="6" t="s">
        <v>12</v>
      </c>
      <c r="K43" s="1">
        <v>46170</v>
      </c>
    </row>
    <row r="44" spans="1:11" x14ac:dyDescent="0.3">
      <c r="A44">
        <v>7</v>
      </c>
      <c r="B44">
        <v>10006</v>
      </c>
      <c r="C44" s="6" t="s">
        <v>15</v>
      </c>
      <c r="D44" s="6" t="s">
        <v>10</v>
      </c>
      <c r="E44" s="6" t="s">
        <v>14</v>
      </c>
      <c r="F44">
        <v>100</v>
      </c>
      <c r="G44">
        <v>2</v>
      </c>
      <c r="H44" s="6" t="s">
        <v>22</v>
      </c>
      <c r="I44">
        <v>50</v>
      </c>
      <c r="J44" s="6" t="s">
        <v>12</v>
      </c>
      <c r="K44" s="1">
        <v>46174</v>
      </c>
    </row>
    <row r="45" spans="1:11" x14ac:dyDescent="0.3">
      <c r="A45">
        <v>20</v>
      </c>
      <c r="B45">
        <v>10006</v>
      </c>
      <c r="C45" s="6" t="s">
        <v>15</v>
      </c>
      <c r="D45" s="6" t="s">
        <v>10</v>
      </c>
      <c r="E45" s="6" t="s">
        <v>14</v>
      </c>
      <c r="F45">
        <v>100</v>
      </c>
      <c r="G45">
        <v>1</v>
      </c>
      <c r="H45" s="6" t="s">
        <v>23</v>
      </c>
      <c r="I45">
        <v>100</v>
      </c>
      <c r="J45" s="6" t="s">
        <v>12</v>
      </c>
      <c r="K45" s="1">
        <v>46041</v>
      </c>
    </row>
    <row r="46" spans="1:11" x14ac:dyDescent="0.3">
      <c r="A46">
        <v>62</v>
      </c>
      <c r="B46">
        <v>10004</v>
      </c>
      <c r="C46" s="6" t="s">
        <v>15</v>
      </c>
      <c r="D46" s="6" t="s">
        <v>16</v>
      </c>
      <c r="E46" s="6" t="s">
        <v>11</v>
      </c>
      <c r="F46">
        <v>50</v>
      </c>
      <c r="G46">
        <v>1</v>
      </c>
      <c r="H46" s="6" t="s">
        <v>23</v>
      </c>
      <c r="I46">
        <v>50</v>
      </c>
      <c r="J46" s="6" t="s">
        <v>12</v>
      </c>
      <c r="K46" s="1">
        <v>46133</v>
      </c>
    </row>
    <row r="47" spans="1:11" x14ac:dyDescent="0.3">
      <c r="A47">
        <v>24</v>
      </c>
      <c r="B47">
        <v>10006</v>
      </c>
      <c r="C47" s="6" t="s">
        <v>15</v>
      </c>
      <c r="D47" s="6" t="s">
        <v>10</v>
      </c>
      <c r="E47" s="6" t="s">
        <v>14</v>
      </c>
      <c r="F47">
        <v>-25</v>
      </c>
      <c r="G47">
        <v>-0.5</v>
      </c>
      <c r="H47" s="6" t="s">
        <v>23</v>
      </c>
      <c r="I47">
        <v>50</v>
      </c>
      <c r="J47" s="6" t="s">
        <v>17</v>
      </c>
      <c r="K47" s="1">
        <v>46177</v>
      </c>
    </row>
    <row r="48" spans="1:11" x14ac:dyDescent="0.3">
      <c r="A48">
        <v>14</v>
      </c>
      <c r="B48">
        <v>10001</v>
      </c>
      <c r="C48" s="6" t="s">
        <v>15</v>
      </c>
      <c r="D48" s="6" t="s">
        <v>10</v>
      </c>
      <c r="E48" s="6" t="s">
        <v>11</v>
      </c>
      <c r="F48">
        <v>-50</v>
      </c>
      <c r="G48">
        <v>-0.5</v>
      </c>
      <c r="H48" s="6" t="s">
        <v>23</v>
      </c>
      <c r="I48">
        <v>100</v>
      </c>
      <c r="J48" s="6" t="s">
        <v>17</v>
      </c>
      <c r="K48" s="1">
        <v>46119</v>
      </c>
    </row>
    <row r="49" spans="1:11" x14ac:dyDescent="0.3">
      <c r="A49">
        <v>49</v>
      </c>
      <c r="B49">
        <v>10001</v>
      </c>
      <c r="C49" s="6" t="s">
        <v>15</v>
      </c>
      <c r="D49" s="6" t="s">
        <v>10</v>
      </c>
      <c r="E49" s="6" t="s">
        <v>11</v>
      </c>
      <c r="F49">
        <v>-50</v>
      </c>
      <c r="G49">
        <v>-0.5</v>
      </c>
      <c r="H49" s="6" t="s">
        <v>23</v>
      </c>
      <c r="I49">
        <v>100</v>
      </c>
      <c r="J49" s="6" t="s">
        <v>17</v>
      </c>
      <c r="K49" s="1">
        <v>46095</v>
      </c>
    </row>
    <row r="50" spans="1:11" x14ac:dyDescent="0.3">
      <c r="A50">
        <v>79</v>
      </c>
      <c r="B50">
        <v>10001</v>
      </c>
      <c r="C50" s="6" t="s">
        <v>15</v>
      </c>
      <c r="D50" s="6" t="s">
        <v>10</v>
      </c>
      <c r="E50" s="6" t="s">
        <v>14</v>
      </c>
      <c r="F50">
        <v>-50</v>
      </c>
      <c r="G50">
        <v>-1</v>
      </c>
      <c r="H50" s="6" t="s">
        <v>23</v>
      </c>
      <c r="I50">
        <v>50</v>
      </c>
      <c r="J50" s="6" t="s">
        <v>17</v>
      </c>
      <c r="K50" s="1">
        <v>46128</v>
      </c>
    </row>
    <row r="51" spans="1:11" x14ac:dyDescent="0.3">
      <c r="A51">
        <v>40</v>
      </c>
      <c r="B51">
        <v>10005</v>
      </c>
      <c r="C51" s="6" t="s">
        <v>15</v>
      </c>
      <c r="D51" s="6" t="s">
        <v>16</v>
      </c>
      <c r="E51" s="6" t="s">
        <v>11</v>
      </c>
      <c r="F51">
        <v>-75</v>
      </c>
      <c r="G51">
        <v>-1.5</v>
      </c>
      <c r="H51" s="6" t="s">
        <v>23</v>
      </c>
      <c r="I51">
        <v>50</v>
      </c>
      <c r="J51" s="6" t="s">
        <v>17</v>
      </c>
      <c r="K51" s="1">
        <v>46099</v>
      </c>
    </row>
    <row r="52" spans="1:11" x14ac:dyDescent="0.3">
      <c r="A52">
        <v>39</v>
      </c>
      <c r="B52">
        <v>10003</v>
      </c>
      <c r="C52" s="6" t="s">
        <v>15</v>
      </c>
      <c r="D52" s="6" t="s">
        <v>16</v>
      </c>
      <c r="E52" s="6" t="s">
        <v>14</v>
      </c>
      <c r="F52">
        <v>-100</v>
      </c>
      <c r="G52">
        <v>-0.5</v>
      </c>
      <c r="H52" s="6" t="s">
        <v>23</v>
      </c>
      <c r="I52">
        <v>200</v>
      </c>
      <c r="J52" s="6" t="s">
        <v>17</v>
      </c>
      <c r="K52" s="1">
        <v>46164</v>
      </c>
    </row>
    <row r="53" spans="1:11" x14ac:dyDescent="0.3">
      <c r="A53">
        <v>29</v>
      </c>
      <c r="B53">
        <v>10002</v>
      </c>
      <c r="C53" s="6" t="s">
        <v>15</v>
      </c>
      <c r="D53" s="6" t="s">
        <v>16</v>
      </c>
      <c r="E53" s="6" t="s">
        <v>11</v>
      </c>
      <c r="F53">
        <v>-125</v>
      </c>
      <c r="G53">
        <v>-0.5</v>
      </c>
      <c r="H53" s="6" t="s">
        <v>23</v>
      </c>
      <c r="I53">
        <v>250</v>
      </c>
      <c r="J53" s="6" t="s">
        <v>17</v>
      </c>
      <c r="K53" s="1">
        <v>46135</v>
      </c>
    </row>
    <row r="54" spans="1:11" x14ac:dyDescent="0.3">
      <c r="A54">
        <v>69</v>
      </c>
      <c r="B54">
        <v>10005</v>
      </c>
      <c r="C54" s="6" t="s">
        <v>15</v>
      </c>
      <c r="D54" s="6" t="s">
        <v>16</v>
      </c>
      <c r="E54" s="6" t="s">
        <v>11</v>
      </c>
      <c r="F54">
        <v>-125</v>
      </c>
      <c r="G54">
        <v>-0.5</v>
      </c>
      <c r="H54" s="6" t="s">
        <v>23</v>
      </c>
      <c r="I54">
        <v>250</v>
      </c>
      <c r="J54" s="6" t="s">
        <v>17</v>
      </c>
      <c r="K54" s="1">
        <v>46042</v>
      </c>
    </row>
    <row r="55" spans="1:11" x14ac:dyDescent="0.3">
      <c r="A55">
        <v>22</v>
      </c>
      <c r="B55">
        <v>10006</v>
      </c>
      <c r="C55" s="6" t="s">
        <v>15</v>
      </c>
      <c r="D55" s="6" t="s">
        <v>16</v>
      </c>
      <c r="E55" s="6" t="s">
        <v>11</v>
      </c>
      <c r="F55">
        <v>-250</v>
      </c>
      <c r="G55">
        <v>-1</v>
      </c>
      <c r="H55" s="6" t="s">
        <v>23</v>
      </c>
      <c r="I55">
        <v>250</v>
      </c>
      <c r="J55" s="6" t="s">
        <v>17</v>
      </c>
      <c r="K55" s="1">
        <v>46165</v>
      </c>
    </row>
    <row r="56" spans="1:11" x14ac:dyDescent="0.3">
      <c r="A56">
        <v>36</v>
      </c>
      <c r="B56">
        <v>10004</v>
      </c>
      <c r="C56" s="6" t="s">
        <v>15</v>
      </c>
      <c r="D56" s="6" t="s">
        <v>10</v>
      </c>
      <c r="E56" s="6" t="s">
        <v>14</v>
      </c>
      <c r="F56">
        <v>-300</v>
      </c>
      <c r="G56">
        <v>-1.5</v>
      </c>
      <c r="H56" s="6" t="s">
        <v>23</v>
      </c>
      <c r="I56">
        <v>200</v>
      </c>
      <c r="J56" s="6" t="s">
        <v>17</v>
      </c>
      <c r="K56" s="1">
        <v>46057</v>
      </c>
    </row>
    <row r="57" spans="1:11" x14ac:dyDescent="0.3">
      <c r="A57">
        <v>32</v>
      </c>
      <c r="B57">
        <v>10003</v>
      </c>
      <c r="C57" s="6" t="s">
        <v>13</v>
      </c>
      <c r="D57" s="6" t="s">
        <v>16</v>
      </c>
      <c r="E57" s="6" t="s">
        <v>11</v>
      </c>
      <c r="F57">
        <v>750</v>
      </c>
      <c r="G57">
        <v>3</v>
      </c>
      <c r="H57" s="6" t="s">
        <v>22</v>
      </c>
      <c r="I57">
        <v>250</v>
      </c>
      <c r="J57" s="6" t="s">
        <v>12</v>
      </c>
      <c r="K57" s="1">
        <v>46027</v>
      </c>
    </row>
    <row r="58" spans="1:11" x14ac:dyDescent="0.3">
      <c r="A58">
        <v>73</v>
      </c>
      <c r="B58">
        <v>10002</v>
      </c>
      <c r="C58" s="6" t="s">
        <v>13</v>
      </c>
      <c r="D58" s="6" t="s">
        <v>10</v>
      </c>
      <c r="E58" s="6" t="s">
        <v>11</v>
      </c>
      <c r="F58">
        <v>500</v>
      </c>
      <c r="G58">
        <v>2.5</v>
      </c>
      <c r="H58" s="6" t="s">
        <v>22</v>
      </c>
      <c r="I58">
        <v>200</v>
      </c>
      <c r="J58" s="6" t="s">
        <v>12</v>
      </c>
      <c r="K58" s="1">
        <v>46191</v>
      </c>
    </row>
    <row r="59" spans="1:11" x14ac:dyDescent="0.3">
      <c r="A59">
        <v>74</v>
      </c>
      <c r="B59">
        <v>10004</v>
      </c>
      <c r="C59" s="6" t="s">
        <v>13</v>
      </c>
      <c r="D59" s="6" t="s">
        <v>16</v>
      </c>
      <c r="E59" s="6" t="s">
        <v>11</v>
      </c>
      <c r="F59">
        <v>500</v>
      </c>
      <c r="G59">
        <v>2.5</v>
      </c>
      <c r="H59" s="6" t="s">
        <v>22</v>
      </c>
      <c r="I59">
        <v>200</v>
      </c>
      <c r="J59" s="6" t="s">
        <v>12</v>
      </c>
      <c r="K59" s="1">
        <v>46081</v>
      </c>
    </row>
    <row r="60" spans="1:11" x14ac:dyDescent="0.3">
      <c r="A60">
        <v>87</v>
      </c>
      <c r="B60">
        <v>10001</v>
      </c>
      <c r="C60" s="6" t="s">
        <v>13</v>
      </c>
      <c r="D60" s="6" t="s">
        <v>16</v>
      </c>
      <c r="E60" s="6" t="s">
        <v>11</v>
      </c>
      <c r="F60">
        <v>375</v>
      </c>
      <c r="G60">
        <v>1.5</v>
      </c>
      <c r="H60" s="6" t="s">
        <v>23</v>
      </c>
      <c r="I60">
        <v>250</v>
      </c>
      <c r="J60" s="6" t="s">
        <v>12</v>
      </c>
      <c r="K60" s="1">
        <v>46203</v>
      </c>
    </row>
    <row r="61" spans="1:11" x14ac:dyDescent="0.3">
      <c r="A61">
        <v>65</v>
      </c>
      <c r="B61">
        <v>10004</v>
      </c>
      <c r="C61" s="6" t="s">
        <v>13</v>
      </c>
      <c r="D61" s="6" t="s">
        <v>10</v>
      </c>
      <c r="E61" s="6" t="s">
        <v>11</v>
      </c>
      <c r="F61">
        <v>300</v>
      </c>
      <c r="G61">
        <v>1.5</v>
      </c>
      <c r="H61" s="6" t="s">
        <v>23</v>
      </c>
      <c r="I61">
        <v>200</v>
      </c>
      <c r="J61" s="6" t="s">
        <v>12</v>
      </c>
      <c r="K61" s="1">
        <v>46167</v>
      </c>
    </row>
    <row r="62" spans="1:11" x14ac:dyDescent="0.3">
      <c r="A62">
        <v>26</v>
      </c>
      <c r="B62">
        <v>10004</v>
      </c>
      <c r="C62" s="6" t="s">
        <v>13</v>
      </c>
      <c r="D62" s="6" t="s">
        <v>10</v>
      </c>
      <c r="E62" s="6" t="s">
        <v>11</v>
      </c>
      <c r="F62">
        <v>250</v>
      </c>
      <c r="G62">
        <v>1</v>
      </c>
      <c r="H62" s="6" t="s">
        <v>23</v>
      </c>
      <c r="I62">
        <v>250</v>
      </c>
      <c r="J62" s="6" t="s">
        <v>12</v>
      </c>
      <c r="K62" s="1">
        <v>46173</v>
      </c>
    </row>
    <row r="63" spans="1:11" x14ac:dyDescent="0.3">
      <c r="A63">
        <v>55</v>
      </c>
      <c r="B63">
        <v>10005</v>
      </c>
      <c r="C63" s="6" t="s">
        <v>13</v>
      </c>
      <c r="D63" s="6" t="s">
        <v>10</v>
      </c>
      <c r="E63" s="6" t="s">
        <v>11</v>
      </c>
      <c r="F63">
        <v>200</v>
      </c>
      <c r="G63">
        <v>1</v>
      </c>
      <c r="H63" s="6" t="s">
        <v>23</v>
      </c>
      <c r="I63">
        <v>200</v>
      </c>
      <c r="J63" s="6" t="s">
        <v>12</v>
      </c>
      <c r="K63" s="1">
        <v>46120</v>
      </c>
    </row>
    <row r="64" spans="1:11" x14ac:dyDescent="0.3">
      <c r="A64">
        <v>59</v>
      </c>
      <c r="B64">
        <v>10006</v>
      </c>
      <c r="C64" s="6" t="s">
        <v>13</v>
      </c>
      <c r="D64" s="6" t="s">
        <v>10</v>
      </c>
      <c r="E64" s="6" t="s">
        <v>11</v>
      </c>
      <c r="F64">
        <v>200</v>
      </c>
      <c r="G64">
        <v>1</v>
      </c>
      <c r="H64" s="6" t="s">
        <v>23</v>
      </c>
      <c r="I64">
        <v>200</v>
      </c>
      <c r="J64" s="6" t="s">
        <v>12</v>
      </c>
      <c r="K64" s="1">
        <v>46140</v>
      </c>
    </row>
    <row r="65" spans="1:11" x14ac:dyDescent="0.3">
      <c r="A65">
        <v>66</v>
      </c>
      <c r="B65">
        <v>10004</v>
      </c>
      <c r="C65" s="6" t="s">
        <v>13</v>
      </c>
      <c r="D65" s="6" t="s">
        <v>10</v>
      </c>
      <c r="E65" s="6" t="s">
        <v>11</v>
      </c>
      <c r="F65">
        <v>200</v>
      </c>
      <c r="G65">
        <v>2</v>
      </c>
      <c r="H65" s="6" t="s">
        <v>22</v>
      </c>
      <c r="I65">
        <v>100</v>
      </c>
      <c r="J65" s="6" t="s">
        <v>12</v>
      </c>
      <c r="K65" s="1">
        <v>46160</v>
      </c>
    </row>
    <row r="66" spans="1:11" x14ac:dyDescent="0.3">
      <c r="A66">
        <v>2</v>
      </c>
      <c r="B66">
        <v>10001</v>
      </c>
      <c r="C66" s="6" t="s">
        <v>13</v>
      </c>
      <c r="D66" s="6" t="s">
        <v>10</v>
      </c>
      <c r="E66" s="6" t="s">
        <v>14</v>
      </c>
      <c r="F66">
        <v>150</v>
      </c>
      <c r="G66">
        <v>3</v>
      </c>
      <c r="H66" s="6" t="s">
        <v>22</v>
      </c>
      <c r="I66">
        <v>50</v>
      </c>
      <c r="J66" s="6" t="s">
        <v>12</v>
      </c>
      <c r="K66" s="1">
        <v>46178</v>
      </c>
    </row>
    <row r="67" spans="1:11" x14ac:dyDescent="0.3">
      <c r="A67">
        <v>94</v>
      </c>
      <c r="B67">
        <v>10004</v>
      </c>
      <c r="C67" s="6" t="s">
        <v>13</v>
      </c>
      <c r="D67" s="6" t="s">
        <v>10</v>
      </c>
      <c r="E67" s="6" t="s">
        <v>14</v>
      </c>
      <c r="F67">
        <v>150</v>
      </c>
      <c r="G67">
        <v>3</v>
      </c>
      <c r="H67" s="6" t="s">
        <v>22</v>
      </c>
      <c r="I67">
        <v>50</v>
      </c>
      <c r="J67" s="6" t="s">
        <v>12</v>
      </c>
      <c r="K67" s="1">
        <v>46091</v>
      </c>
    </row>
    <row r="68" spans="1:11" x14ac:dyDescent="0.3">
      <c r="A68">
        <v>57</v>
      </c>
      <c r="B68">
        <v>10005</v>
      </c>
      <c r="C68" s="6" t="s">
        <v>13</v>
      </c>
      <c r="D68" s="6" t="s">
        <v>16</v>
      </c>
      <c r="E68" s="6" t="s">
        <v>14</v>
      </c>
      <c r="F68">
        <v>125</v>
      </c>
      <c r="G68">
        <v>2.5</v>
      </c>
      <c r="H68" s="6" t="s">
        <v>22</v>
      </c>
      <c r="I68">
        <v>50</v>
      </c>
      <c r="J68" s="6" t="s">
        <v>12</v>
      </c>
      <c r="K68" s="1">
        <v>46076</v>
      </c>
    </row>
    <row r="69" spans="1:11" x14ac:dyDescent="0.3">
      <c r="A69">
        <v>4</v>
      </c>
      <c r="B69">
        <v>10002</v>
      </c>
      <c r="C69" s="6" t="s">
        <v>13</v>
      </c>
      <c r="D69" s="6" t="s">
        <v>16</v>
      </c>
      <c r="E69" s="6" t="s">
        <v>11</v>
      </c>
      <c r="F69">
        <v>100</v>
      </c>
      <c r="G69">
        <v>2</v>
      </c>
      <c r="H69" s="6" t="s">
        <v>22</v>
      </c>
      <c r="I69">
        <v>50</v>
      </c>
      <c r="J69" s="6" t="s">
        <v>12</v>
      </c>
      <c r="K69" s="1">
        <v>46205</v>
      </c>
    </row>
    <row r="70" spans="1:11" x14ac:dyDescent="0.3">
      <c r="A70">
        <v>27</v>
      </c>
      <c r="B70">
        <v>10006</v>
      </c>
      <c r="C70" s="6" t="s">
        <v>13</v>
      </c>
      <c r="D70" s="6" t="s">
        <v>16</v>
      </c>
      <c r="E70" s="6" t="s">
        <v>11</v>
      </c>
      <c r="F70">
        <v>50</v>
      </c>
      <c r="G70">
        <v>1</v>
      </c>
      <c r="H70" s="6" t="s">
        <v>23</v>
      </c>
      <c r="I70">
        <v>50</v>
      </c>
      <c r="J70" s="6" t="s">
        <v>12</v>
      </c>
      <c r="K70" s="1">
        <v>46117</v>
      </c>
    </row>
    <row r="71" spans="1:11" x14ac:dyDescent="0.3">
      <c r="A71">
        <v>72</v>
      </c>
      <c r="B71">
        <v>10004</v>
      </c>
      <c r="C71" s="6" t="s">
        <v>13</v>
      </c>
      <c r="D71" s="6" t="s">
        <v>10</v>
      </c>
      <c r="E71" s="6" t="s">
        <v>14</v>
      </c>
      <c r="F71">
        <v>50</v>
      </c>
      <c r="G71">
        <v>1</v>
      </c>
      <c r="H71" s="6" t="s">
        <v>23</v>
      </c>
      <c r="I71">
        <v>50</v>
      </c>
      <c r="J71" s="6" t="s">
        <v>12</v>
      </c>
      <c r="K71" s="1">
        <v>46069</v>
      </c>
    </row>
    <row r="72" spans="1:11" x14ac:dyDescent="0.3">
      <c r="A72">
        <v>75</v>
      </c>
      <c r="B72">
        <v>10003</v>
      </c>
      <c r="C72" s="6" t="s">
        <v>13</v>
      </c>
      <c r="D72" s="6" t="s">
        <v>10</v>
      </c>
      <c r="E72" s="6" t="s">
        <v>14</v>
      </c>
      <c r="F72">
        <v>50</v>
      </c>
      <c r="G72">
        <v>1</v>
      </c>
      <c r="H72" s="6" t="s">
        <v>23</v>
      </c>
      <c r="I72">
        <v>50</v>
      </c>
      <c r="J72" s="6" t="s">
        <v>12</v>
      </c>
      <c r="K72" s="1">
        <v>46047</v>
      </c>
    </row>
    <row r="73" spans="1:11" x14ac:dyDescent="0.3">
      <c r="A73">
        <v>17</v>
      </c>
      <c r="B73">
        <v>10005</v>
      </c>
      <c r="C73" s="6" t="s">
        <v>13</v>
      </c>
      <c r="D73" s="6" t="s">
        <v>10</v>
      </c>
      <c r="E73" s="6" t="s">
        <v>11</v>
      </c>
      <c r="F73">
        <v>-75</v>
      </c>
      <c r="G73">
        <v>-1.5</v>
      </c>
      <c r="H73" s="6" t="s">
        <v>23</v>
      </c>
      <c r="I73">
        <v>50</v>
      </c>
      <c r="J73" s="6" t="s">
        <v>17</v>
      </c>
      <c r="K73" s="1">
        <v>46067</v>
      </c>
    </row>
    <row r="74" spans="1:11" x14ac:dyDescent="0.3">
      <c r="A74">
        <v>53</v>
      </c>
      <c r="B74">
        <v>10004</v>
      </c>
      <c r="C74" s="6" t="s">
        <v>13</v>
      </c>
      <c r="D74" s="6" t="s">
        <v>16</v>
      </c>
      <c r="E74" s="6" t="s">
        <v>11</v>
      </c>
      <c r="F74">
        <v>-75</v>
      </c>
      <c r="G74">
        <v>-1.5</v>
      </c>
      <c r="H74" s="6" t="s">
        <v>23</v>
      </c>
      <c r="I74">
        <v>50</v>
      </c>
      <c r="J74" s="6" t="s">
        <v>17</v>
      </c>
      <c r="K74" s="1">
        <v>46054</v>
      </c>
    </row>
    <row r="75" spans="1:11" x14ac:dyDescent="0.3">
      <c r="A75">
        <v>21</v>
      </c>
      <c r="B75">
        <v>10005</v>
      </c>
      <c r="C75" s="6" t="s">
        <v>13</v>
      </c>
      <c r="D75" s="6" t="s">
        <v>10</v>
      </c>
      <c r="E75" s="6" t="s">
        <v>11</v>
      </c>
      <c r="F75">
        <v>-100</v>
      </c>
      <c r="G75">
        <v>-1</v>
      </c>
      <c r="H75" s="6" t="s">
        <v>23</v>
      </c>
      <c r="I75">
        <v>100</v>
      </c>
      <c r="J75" s="6" t="s">
        <v>17</v>
      </c>
      <c r="K75" s="1">
        <v>46059</v>
      </c>
    </row>
    <row r="76" spans="1:11" x14ac:dyDescent="0.3">
      <c r="A76">
        <v>48</v>
      </c>
      <c r="B76">
        <v>10006</v>
      </c>
      <c r="C76" s="6" t="s">
        <v>13</v>
      </c>
      <c r="D76" s="6" t="s">
        <v>10</v>
      </c>
      <c r="E76" s="6" t="s">
        <v>14</v>
      </c>
      <c r="F76">
        <v>-100</v>
      </c>
      <c r="G76">
        <v>-1</v>
      </c>
      <c r="H76" s="6" t="s">
        <v>23</v>
      </c>
      <c r="I76">
        <v>100</v>
      </c>
      <c r="J76" s="6" t="s">
        <v>17</v>
      </c>
      <c r="K76" s="1">
        <v>46072</v>
      </c>
    </row>
    <row r="77" spans="1:11" x14ac:dyDescent="0.3">
      <c r="A77">
        <v>83</v>
      </c>
      <c r="B77">
        <v>10002</v>
      </c>
      <c r="C77" s="6" t="s">
        <v>13</v>
      </c>
      <c r="D77" s="6" t="s">
        <v>16</v>
      </c>
      <c r="E77" s="6" t="s">
        <v>11</v>
      </c>
      <c r="F77">
        <v>-100</v>
      </c>
      <c r="G77">
        <v>-0.5</v>
      </c>
      <c r="H77" s="6" t="s">
        <v>23</v>
      </c>
      <c r="I77">
        <v>200</v>
      </c>
      <c r="J77" s="6" t="s">
        <v>17</v>
      </c>
      <c r="K77" s="1">
        <v>46146</v>
      </c>
    </row>
    <row r="78" spans="1:11" x14ac:dyDescent="0.3">
      <c r="A78">
        <v>5</v>
      </c>
      <c r="B78">
        <v>10003</v>
      </c>
      <c r="C78" s="6" t="s">
        <v>13</v>
      </c>
      <c r="D78" s="6" t="s">
        <v>10</v>
      </c>
      <c r="E78" s="6" t="s">
        <v>11</v>
      </c>
      <c r="F78">
        <v>-125</v>
      </c>
      <c r="G78">
        <v>-0.5</v>
      </c>
      <c r="H78" s="6" t="s">
        <v>23</v>
      </c>
      <c r="I78">
        <v>250</v>
      </c>
      <c r="J78" s="6" t="s">
        <v>17</v>
      </c>
      <c r="K78" s="1">
        <v>46050</v>
      </c>
    </row>
    <row r="79" spans="1:11" x14ac:dyDescent="0.3">
      <c r="A79">
        <v>31</v>
      </c>
      <c r="B79">
        <v>10004</v>
      </c>
      <c r="C79" s="6" t="s">
        <v>13</v>
      </c>
      <c r="D79" s="6" t="s">
        <v>16</v>
      </c>
      <c r="E79" s="6" t="s">
        <v>14</v>
      </c>
      <c r="F79">
        <v>-125</v>
      </c>
      <c r="G79">
        <v>-0.5</v>
      </c>
      <c r="H79" s="6" t="s">
        <v>23</v>
      </c>
      <c r="I79">
        <v>250</v>
      </c>
      <c r="J79" s="6" t="s">
        <v>17</v>
      </c>
      <c r="K79" s="1">
        <v>46131</v>
      </c>
    </row>
    <row r="80" spans="1:11" x14ac:dyDescent="0.3">
      <c r="A80">
        <v>96</v>
      </c>
      <c r="B80">
        <v>10003</v>
      </c>
      <c r="C80" s="6" t="s">
        <v>13</v>
      </c>
      <c r="D80" s="6" t="s">
        <v>16</v>
      </c>
      <c r="E80" s="6" t="s">
        <v>11</v>
      </c>
      <c r="F80">
        <v>-200</v>
      </c>
      <c r="G80">
        <v>-1</v>
      </c>
      <c r="H80" s="6" t="s">
        <v>23</v>
      </c>
      <c r="I80">
        <v>200</v>
      </c>
      <c r="J80" s="6" t="s">
        <v>17</v>
      </c>
      <c r="K80" s="1">
        <v>46160</v>
      </c>
    </row>
    <row r="81" spans="1:11" x14ac:dyDescent="0.3">
      <c r="A81">
        <v>64</v>
      </c>
      <c r="B81">
        <v>10005</v>
      </c>
      <c r="C81" s="6" t="s">
        <v>13</v>
      </c>
      <c r="D81" s="6" t="s">
        <v>16</v>
      </c>
      <c r="E81" s="6" t="s">
        <v>11</v>
      </c>
      <c r="F81">
        <v>-375</v>
      </c>
      <c r="G81">
        <v>-1.5</v>
      </c>
      <c r="H81" s="6" t="s">
        <v>23</v>
      </c>
      <c r="I81">
        <v>250</v>
      </c>
      <c r="J81" s="6" t="s">
        <v>17</v>
      </c>
      <c r="K81" s="1">
        <v>46061</v>
      </c>
    </row>
    <row r="82" spans="1:11" x14ac:dyDescent="0.3">
      <c r="A82">
        <v>81</v>
      </c>
      <c r="B82">
        <v>10004</v>
      </c>
      <c r="C82" s="6" t="s">
        <v>13</v>
      </c>
      <c r="D82" s="6" t="s">
        <v>16</v>
      </c>
      <c r="E82" s="6" t="s">
        <v>14</v>
      </c>
      <c r="F82">
        <v>-375</v>
      </c>
      <c r="G82">
        <v>-1.5</v>
      </c>
      <c r="H82" s="6" t="s">
        <v>23</v>
      </c>
      <c r="I82">
        <v>250</v>
      </c>
      <c r="J82" s="6" t="s">
        <v>17</v>
      </c>
      <c r="K82" s="1">
        <v>46030</v>
      </c>
    </row>
    <row r="83" spans="1:11" x14ac:dyDescent="0.3">
      <c r="A83">
        <v>82</v>
      </c>
      <c r="B83">
        <v>10005</v>
      </c>
      <c r="C83" s="6" t="s">
        <v>13</v>
      </c>
      <c r="D83" s="6" t="s">
        <v>10</v>
      </c>
      <c r="E83" s="6" t="s">
        <v>11</v>
      </c>
      <c r="F83">
        <v>-375</v>
      </c>
      <c r="G83">
        <v>-1.5</v>
      </c>
      <c r="H83" s="6" t="s">
        <v>23</v>
      </c>
      <c r="I83">
        <v>250</v>
      </c>
      <c r="J83" s="6" t="s">
        <v>17</v>
      </c>
      <c r="K83" s="1">
        <v>46066</v>
      </c>
    </row>
    <row r="84" spans="1:11" x14ac:dyDescent="0.3">
      <c r="A84">
        <v>90</v>
      </c>
      <c r="B84">
        <v>10002</v>
      </c>
      <c r="C84" s="6" t="s">
        <v>18</v>
      </c>
      <c r="D84" s="6" t="s">
        <v>10</v>
      </c>
      <c r="E84" s="6" t="s">
        <v>14</v>
      </c>
      <c r="F84">
        <v>500</v>
      </c>
      <c r="G84">
        <v>2.5</v>
      </c>
      <c r="H84" s="6" t="s">
        <v>22</v>
      </c>
      <c r="I84">
        <v>200</v>
      </c>
      <c r="J84" s="6" t="s">
        <v>12</v>
      </c>
      <c r="K84" s="1">
        <v>46076</v>
      </c>
    </row>
    <row r="85" spans="1:11" x14ac:dyDescent="0.3">
      <c r="A85">
        <v>50</v>
      </c>
      <c r="B85">
        <v>10002</v>
      </c>
      <c r="C85" s="6" t="s">
        <v>18</v>
      </c>
      <c r="D85" s="6" t="s">
        <v>16</v>
      </c>
      <c r="E85" s="6" t="s">
        <v>14</v>
      </c>
      <c r="F85">
        <v>375</v>
      </c>
      <c r="G85">
        <v>1.5</v>
      </c>
      <c r="H85" s="6" t="s">
        <v>23</v>
      </c>
      <c r="I85">
        <v>250</v>
      </c>
      <c r="J85" s="6" t="s">
        <v>12</v>
      </c>
      <c r="K85" s="1">
        <v>46144</v>
      </c>
    </row>
    <row r="86" spans="1:11" x14ac:dyDescent="0.3">
      <c r="A86">
        <v>91</v>
      </c>
      <c r="B86">
        <v>10003</v>
      </c>
      <c r="C86" s="6" t="s">
        <v>18</v>
      </c>
      <c r="D86" s="6" t="s">
        <v>10</v>
      </c>
      <c r="E86" s="6" t="s">
        <v>14</v>
      </c>
      <c r="F86">
        <v>300</v>
      </c>
      <c r="G86">
        <v>1.5</v>
      </c>
      <c r="H86" s="6" t="s">
        <v>23</v>
      </c>
      <c r="I86">
        <v>200</v>
      </c>
      <c r="J86" s="6" t="s">
        <v>12</v>
      </c>
      <c r="K86" s="1">
        <v>46177</v>
      </c>
    </row>
    <row r="87" spans="1:11" x14ac:dyDescent="0.3">
      <c r="A87">
        <v>28</v>
      </c>
      <c r="B87">
        <v>10002</v>
      </c>
      <c r="C87" s="6" t="s">
        <v>18</v>
      </c>
      <c r="D87" s="6" t="s">
        <v>10</v>
      </c>
      <c r="E87" s="6" t="s">
        <v>14</v>
      </c>
      <c r="F87">
        <v>250</v>
      </c>
      <c r="G87">
        <v>2.5</v>
      </c>
      <c r="H87" s="6" t="s">
        <v>22</v>
      </c>
      <c r="I87">
        <v>100</v>
      </c>
      <c r="J87" s="6" t="s">
        <v>12</v>
      </c>
      <c r="K87" s="1">
        <v>46130</v>
      </c>
    </row>
    <row r="88" spans="1:11" x14ac:dyDescent="0.3">
      <c r="A88">
        <v>67</v>
      </c>
      <c r="B88">
        <v>10002</v>
      </c>
      <c r="C88" s="6" t="s">
        <v>18</v>
      </c>
      <c r="D88" s="6" t="s">
        <v>16</v>
      </c>
      <c r="E88" s="6" t="s">
        <v>14</v>
      </c>
      <c r="F88">
        <v>250</v>
      </c>
      <c r="G88">
        <v>2.5</v>
      </c>
      <c r="H88" s="6" t="s">
        <v>22</v>
      </c>
      <c r="I88">
        <v>100</v>
      </c>
      <c r="J88" s="6" t="s">
        <v>12</v>
      </c>
      <c r="K88" s="1">
        <v>46096</v>
      </c>
    </row>
    <row r="89" spans="1:11" x14ac:dyDescent="0.3">
      <c r="A89">
        <v>60</v>
      </c>
      <c r="B89">
        <v>10006</v>
      </c>
      <c r="C89" s="6" t="s">
        <v>18</v>
      </c>
      <c r="D89" s="6" t="s">
        <v>10</v>
      </c>
      <c r="E89" s="6" t="s">
        <v>14</v>
      </c>
      <c r="F89">
        <v>150</v>
      </c>
      <c r="G89">
        <v>1.5</v>
      </c>
      <c r="H89" s="6" t="s">
        <v>23</v>
      </c>
      <c r="I89">
        <v>100</v>
      </c>
      <c r="J89" s="6" t="s">
        <v>12</v>
      </c>
      <c r="K89" s="1">
        <v>46158</v>
      </c>
    </row>
    <row r="90" spans="1:11" x14ac:dyDescent="0.3">
      <c r="A90">
        <v>41</v>
      </c>
      <c r="B90">
        <v>10003</v>
      </c>
      <c r="C90" s="6" t="s">
        <v>18</v>
      </c>
      <c r="D90" s="6" t="s">
        <v>10</v>
      </c>
      <c r="E90" s="6" t="s">
        <v>14</v>
      </c>
      <c r="F90">
        <v>100</v>
      </c>
      <c r="G90">
        <v>1</v>
      </c>
      <c r="H90" s="6" t="s">
        <v>23</v>
      </c>
      <c r="I90">
        <v>100</v>
      </c>
      <c r="J90" s="6" t="s">
        <v>12</v>
      </c>
      <c r="K90" s="1">
        <v>46197</v>
      </c>
    </row>
    <row r="91" spans="1:11" x14ac:dyDescent="0.3">
      <c r="A91">
        <v>89</v>
      </c>
      <c r="B91">
        <v>10003</v>
      </c>
      <c r="C91" s="6" t="s">
        <v>18</v>
      </c>
      <c r="D91" s="6" t="s">
        <v>16</v>
      </c>
      <c r="E91" s="6" t="s">
        <v>11</v>
      </c>
      <c r="F91">
        <v>75</v>
      </c>
      <c r="G91">
        <v>1.5</v>
      </c>
      <c r="H91" s="6" t="s">
        <v>23</v>
      </c>
      <c r="I91">
        <v>50</v>
      </c>
      <c r="J91" s="6" t="s">
        <v>12</v>
      </c>
      <c r="K91" s="1">
        <v>46167</v>
      </c>
    </row>
    <row r="92" spans="1:11" x14ac:dyDescent="0.3">
      <c r="A92">
        <v>25</v>
      </c>
      <c r="B92">
        <v>10003</v>
      </c>
      <c r="C92" s="6" t="s">
        <v>18</v>
      </c>
      <c r="D92" s="6" t="s">
        <v>10</v>
      </c>
      <c r="E92" s="6" t="s">
        <v>14</v>
      </c>
      <c r="F92">
        <v>-50</v>
      </c>
      <c r="G92">
        <v>-0.5</v>
      </c>
      <c r="H92" s="6" t="s">
        <v>23</v>
      </c>
      <c r="I92">
        <v>100</v>
      </c>
      <c r="J92" s="6" t="s">
        <v>17</v>
      </c>
      <c r="K92" s="1">
        <v>46035</v>
      </c>
    </row>
    <row r="93" spans="1:11" x14ac:dyDescent="0.3">
      <c r="A93">
        <v>9</v>
      </c>
      <c r="B93">
        <v>10006</v>
      </c>
      <c r="C93" s="6" t="s">
        <v>18</v>
      </c>
      <c r="D93" s="6" t="s">
        <v>10</v>
      </c>
      <c r="E93" s="6" t="s">
        <v>11</v>
      </c>
      <c r="F93">
        <v>-75</v>
      </c>
      <c r="G93">
        <v>-1.5</v>
      </c>
      <c r="H93" s="6" t="s">
        <v>23</v>
      </c>
      <c r="I93">
        <v>50</v>
      </c>
      <c r="J93" s="6" t="s">
        <v>17</v>
      </c>
      <c r="K93" s="1">
        <v>46121</v>
      </c>
    </row>
    <row r="94" spans="1:11" x14ac:dyDescent="0.3">
      <c r="A94">
        <v>18</v>
      </c>
      <c r="B94">
        <v>10003</v>
      </c>
      <c r="C94" s="6" t="s">
        <v>18</v>
      </c>
      <c r="D94" s="6" t="s">
        <v>10</v>
      </c>
      <c r="E94" s="6" t="s">
        <v>14</v>
      </c>
      <c r="F94">
        <v>-75</v>
      </c>
      <c r="G94">
        <v>-1.5</v>
      </c>
      <c r="H94" s="6" t="s">
        <v>23</v>
      </c>
      <c r="I94">
        <v>50</v>
      </c>
      <c r="J94" s="6" t="s">
        <v>17</v>
      </c>
      <c r="K94" s="1">
        <v>46187</v>
      </c>
    </row>
    <row r="95" spans="1:11" x14ac:dyDescent="0.3">
      <c r="A95">
        <v>44</v>
      </c>
      <c r="B95">
        <v>10005</v>
      </c>
      <c r="C95" s="6" t="s">
        <v>18</v>
      </c>
      <c r="D95" s="6" t="s">
        <v>10</v>
      </c>
      <c r="E95" s="6" t="s">
        <v>11</v>
      </c>
      <c r="F95">
        <v>-75</v>
      </c>
      <c r="G95">
        <v>-1.5</v>
      </c>
      <c r="H95" s="6" t="s">
        <v>23</v>
      </c>
      <c r="I95">
        <v>50</v>
      </c>
      <c r="J95" s="6" t="s">
        <v>17</v>
      </c>
      <c r="K95" s="1">
        <v>46190</v>
      </c>
    </row>
    <row r="96" spans="1:11" x14ac:dyDescent="0.3">
      <c r="A96">
        <v>19</v>
      </c>
      <c r="B96">
        <v>10001</v>
      </c>
      <c r="C96" s="6" t="s">
        <v>18</v>
      </c>
      <c r="D96" s="6" t="s">
        <v>16</v>
      </c>
      <c r="E96" s="6" t="s">
        <v>14</v>
      </c>
      <c r="F96">
        <v>-100</v>
      </c>
      <c r="G96">
        <v>-1</v>
      </c>
      <c r="H96" s="6" t="s">
        <v>23</v>
      </c>
      <c r="I96">
        <v>100</v>
      </c>
      <c r="J96" s="6" t="s">
        <v>17</v>
      </c>
      <c r="K96" s="1">
        <v>46180</v>
      </c>
    </row>
    <row r="97" spans="1:11" x14ac:dyDescent="0.3">
      <c r="A97">
        <v>56</v>
      </c>
      <c r="B97">
        <v>10004</v>
      </c>
      <c r="C97" s="6" t="s">
        <v>18</v>
      </c>
      <c r="D97" s="6" t="s">
        <v>16</v>
      </c>
      <c r="E97" s="6" t="s">
        <v>11</v>
      </c>
      <c r="F97">
        <v>-150</v>
      </c>
      <c r="G97">
        <v>-1.5</v>
      </c>
      <c r="H97" s="6" t="s">
        <v>23</v>
      </c>
      <c r="I97">
        <v>100</v>
      </c>
      <c r="J97" s="6" t="s">
        <v>17</v>
      </c>
      <c r="K97" s="1">
        <v>46156</v>
      </c>
    </row>
    <row r="98" spans="1:11" x14ac:dyDescent="0.3">
      <c r="A98">
        <v>11</v>
      </c>
      <c r="B98">
        <v>10001</v>
      </c>
      <c r="C98" s="6" t="s">
        <v>18</v>
      </c>
      <c r="D98" s="6" t="s">
        <v>10</v>
      </c>
      <c r="E98" s="6" t="s">
        <v>14</v>
      </c>
      <c r="F98">
        <v>-200</v>
      </c>
      <c r="G98">
        <v>-1</v>
      </c>
      <c r="H98" s="6" t="s">
        <v>23</v>
      </c>
      <c r="I98">
        <v>200</v>
      </c>
      <c r="J98" s="6" t="s">
        <v>17</v>
      </c>
      <c r="K98" s="1">
        <v>46202</v>
      </c>
    </row>
    <row r="99" spans="1:11" x14ac:dyDescent="0.3">
      <c r="A99">
        <v>51</v>
      </c>
      <c r="B99">
        <v>10003</v>
      </c>
      <c r="C99" s="6" t="s">
        <v>18</v>
      </c>
      <c r="D99" s="6" t="s">
        <v>10</v>
      </c>
      <c r="E99" s="6" t="s">
        <v>11</v>
      </c>
      <c r="F99">
        <v>-200</v>
      </c>
      <c r="G99">
        <v>-1</v>
      </c>
      <c r="H99" s="6" t="s">
        <v>23</v>
      </c>
      <c r="I99">
        <v>200</v>
      </c>
      <c r="J99" s="6" t="s">
        <v>17</v>
      </c>
      <c r="K99" s="1">
        <v>46111</v>
      </c>
    </row>
    <row r="100" spans="1:11" x14ac:dyDescent="0.3">
      <c r="A100">
        <v>42</v>
      </c>
      <c r="B100">
        <v>10002</v>
      </c>
      <c r="C100" s="6" t="s">
        <v>18</v>
      </c>
      <c r="D100" s="6" t="s">
        <v>10</v>
      </c>
      <c r="E100" s="6" t="s">
        <v>11</v>
      </c>
      <c r="F100">
        <v>-250</v>
      </c>
      <c r="G100">
        <v>-1</v>
      </c>
      <c r="H100" s="6" t="s">
        <v>23</v>
      </c>
      <c r="I100">
        <v>250</v>
      </c>
      <c r="J100" s="6" t="s">
        <v>17</v>
      </c>
      <c r="K100" s="1">
        <v>46096</v>
      </c>
    </row>
    <row r="101" spans="1:11" x14ac:dyDescent="0.3">
      <c r="A101">
        <v>58</v>
      </c>
      <c r="B101">
        <v>10005</v>
      </c>
      <c r="C101" s="6" t="s">
        <v>18</v>
      </c>
      <c r="D101" s="6" t="s">
        <v>10</v>
      </c>
      <c r="E101" s="6" t="s">
        <v>11</v>
      </c>
      <c r="F101">
        <v>-250</v>
      </c>
      <c r="G101">
        <v>-1</v>
      </c>
      <c r="H101" s="6" t="s">
        <v>23</v>
      </c>
      <c r="I101">
        <v>250</v>
      </c>
      <c r="J101" s="6" t="s">
        <v>17</v>
      </c>
      <c r="K101" s="1">
        <v>46104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58B5-1F80-4C49-9035-7A91F11B2092}">
  <sheetPr>
    <tabColor theme="6" tint="-0.249977111117893"/>
  </sheetPr>
  <dimension ref="A1:K101"/>
  <sheetViews>
    <sheetView workbookViewId="0">
      <selection activeCell="G15" sqref="G15"/>
    </sheetView>
  </sheetViews>
  <sheetFormatPr defaultRowHeight="14.4" x14ac:dyDescent="0.3"/>
  <cols>
    <col min="1" max="1" width="9.33203125" customWidth="1"/>
    <col min="2" max="2" width="11.44140625" customWidth="1"/>
    <col min="4" max="4" width="14" customWidth="1"/>
    <col min="5" max="5" width="10.5546875" customWidth="1"/>
    <col min="8" max="8" width="12.44140625" bestFit="1" customWidth="1"/>
    <col min="9" max="9" width="12.44140625" customWidth="1"/>
    <col min="11" max="11" width="19.5546875" customWidth="1"/>
  </cols>
  <sheetData>
    <row r="1" spans="1:11" x14ac:dyDescent="0.3">
      <c r="A1" t="s">
        <v>0</v>
      </c>
      <c r="B1" t="s">
        <v>1</v>
      </c>
      <c r="C1" t="s">
        <v>2</v>
      </c>
      <c r="D1" t="s">
        <v>3</v>
      </c>
      <c r="E1" t="s">
        <v>4</v>
      </c>
      <c r="F1" t="s">
        <v>5</v>
      </c>
      <c r="G1" t="s">
        <v>6</v>
      </c>
      <c r="H1" t="s">
        <v>19</v>
      </c>
      <c r="I1" t="s">
        <v>20</v>
      </c>
      <c r="J1" t="s">
        <v>7</v>
      </c>
      <c r="K1" t="s">
        <v>8</v>
      </c>
    </row>
    <row r="2" spans="1:11" x14ac:dyDescent="0.3">
      <c r="A2">
        <v>6</v>
      </c>
      <c r="B2">
        <v>10005</v>
      </c>
      <c r="C2" t="s">
        <v>9</v>
      </c>
      <c r="D2" t="s">
        <v>16</v>
      </c>
      <c r="E2" t="s">
        <v>14</v>
      </c>
      <c r="F2">
        <v>600</v>
      </c>
      <c r="G2">
        <v>3</v>
      </c>
      <c r="H2" t="str">
        <f>IF(OR(dataraw[[#This Row],[R]]&gt;=2,dataraw[[#This Row],[Profit]]&gt;500),"GOOD","REVIEW")</f>
        <v>GOOD</v>
      </c>
      <c r="I2">
        <f>IFERROR(dataraw[[#This Row],[Profit]]/dataraw[[#This Row],[R]],"0")</f>
        <v>200</v>
      </c>
      <c r="J2" t="s">
        <v>12</v>
      </c>
      <c r="K2" s="1">
        <v>46164</v>
      </c>
    </row>
    <row r="3" spans="1:11" x14ac:dyDescent="0.3">
      <c r="A3">
        <v>80</v>
      </c>
      <c r="B3">
        <v>10006</v>
      </c>
      <c r="C3" t="s">
        <v>9</v>
      </c>
      <c r="D3" t="s">
        <v>16</v>
      </c>
      <c r="E3" t="s">
        <v>11</v>
      </c>
      <c r="F3">
        <v>600</v>
      </c>
      <c r="G3">
        <v>3</v>
      </c>
      <c r="H3" t="str">
        <f>IF(OR(dataraw[[#This Row],[R]]&gt;=2,dataraw[[#This Row],[Profit]]&gt;500),"GOOD","REVIEW")</f>
        <v>GOOD</v>
      </c>
      <c r="I3">
        <f>IFERROR(dataraw[[#This Row],[Profit]]/dataraw[[#This Row],[R]],"0")</f>
        <v>200</v>
      </c>
      <c r="J3" t="s">
        <v>12</v>
      </c>
      <c r="K3" s="1">
        <v>46171</v>
      </c>
    </row>
    <row r="4" spans="1:11" x14ac:dyDescent="0.3">
      <c r="A4">
        <v>16</v>
      </c>
      <c r="B4">
        <v>10006</v>
      </c>
      <c r="C4" t="s">
        <v>9</v>
      </c>
      <c r="D4" t="s">
        <v>10</v>
      </c>
      <c r="E4" t="s">
        <v>11</v>
      </c>
      <c r="F4">
        <v>500</v>
      </c>
      <c r="G4">
        <v>2</v>
      </c>
      <c r="H4" t="str">
        <f>IF(OR(dataraw[[#This Row],[R]]&gt;=2,dataraw[[#This Row],[Profit]]&gt;500),"GOOD","REVIEW")</f>
        <v>GOOD</v>
      </c>
      <c r="I4">
        <f>IFERROR(dataraw[[#This Row],[Profit]]/dataraw[[#This Row],[R]],"0")</f>
        <v>250</v>
      </c>
      <c r="J4" t="s">
        <v>12</v>
      </c>
      <c r="K4" s="1">
        <v>46168</v>
      </c>
    </row>
    <row r="5" spans="1:11" x14ac:dyDescent="0.3">
      <c r="A5">
        <v>78</v>
      </c>
      <c r="B5">
        <v>10001</v>
      </c>
      <c r="C5" t="s">
        <v>9</v>
      </c>
      <c r="D5" t="s">
        <v>10</v>
      </c>
      <c r="E5" t="s">
        <v>11</v>
      </c>
      <c r="F5">
        <v>500</v>
      </c>
      <c r="G5">
        <v>2</v>
      </c>
      <c r="H5" t="str">
        <f>IF(OR(dataraw[[#This Row],[R]]&gt;=2,dataraw[[#This Row],[Profit]]&gt;500),"GOOD","REVIEW")</f>
        <v>GOOD</v>
      </c>
      <c r="I5">
        <f>IFERROR(dataraw[[#This Row],[Profit]]/dataraw[[#This Row],[R]],"0")</f>
        <v>250</v>
      </c>
      <c r="J5" t="s">
        <v>12</v>
      </c>
      <c r="K5" s="1">
        <v>46182</v>
      </c>
    </row>
    <row r="6" spans="1:11" x14ac:dyDescent="0.3">
      <c r="A6">
        <v>35</v>
      </c>
      <c r="B6">
        <v>10005</v>
      </c>
      <c r="C6" t="s">
        <v>9</v>
      </c>
      <c r="D6" t="s">
        <v>10</v>
      </c>
      <c r="E6" t="s">
        <v>14</v>
      </c>
      <c r="F6">
        <v>375</v>
      </c>
      <c r="G6">
        <v>1.5</v>
      </c>
      <c r="H6" t="str">
        <f>IF(OR(dataraw[[#This Row],[R]]&gt;=2,dataraw[[#This Row],[Profit]]&gt;500),"GOOD","REVIEW")</f>
        <v>REVIEW</v>
      </c>
      <c r="I6">
        <f>IFERROR(dataraw[[#This Row],[Profit]]/dataraw[[#This Row],[R]],"0")</f>
        <v>250</v>
      </c>
      <c r="J6" t="s">
        <v>12</v>
      </c>
      <c r="K6" s="1">
        <v>46041</v>
      </c>
    </row>
    <row r="7" spans="1:11" x14ac:dyDescent="0.3">
      <c r="A7">
        <v>45</v>
      </c>
      <c r="B7">
        <v>10003</v>
      </c>
      <c r="C7" t="s">
        <v>9</v>
      </c>
      <c r="D7" t="s">
        <v>10</v>
      </c>
      <c r="E7" t="s">
        <v>14</v>
      </c>
      <c r="F7">
        <v>375</v>
      </c>
      <c r="G7">
        <v>1.5</v>
      </c>
      <c r="H7" t="str">
        <f>IF(OR(dataraw[[#This Row],[R]]&gt;=2,dataraw[[#This Row],[Profit]]&gt;500),"GOOD","REVIEW")</f>
        <v>REVIEW</v>
      </c>
      <c r="I7">
        <f>IFERROR(dataraw[[#This Row],[Profit]]/dataraw[[#This Row],[R]],"0")</f>
        <v>250</v>
      </c>
      <c r="J7" t="s">
        <v>12</v>
      </c>
      <c r="K7" s="1">
        <v>46055</v>
      </c>
    </row>
    <row r="8" spans="1:11" x14ac:dyDescent="0.3">
      <c r="A8">
        <v>43</v>
      </c>
      <c r="B8">
        <v>10003</v>
      </c>
      <c r="C8" t="s">
        <v>9</v>
      </c>
      <c r="D8" t="s">
        <v>10</v>
      </c>
      <c r="E8" t="s">
        <v>11</v>
      </c>
      <c r="F8">
        <v>200</v>
      </c>
      <c r="G8">
        <v>2</v>
      </c>
      <c r="H8" t="str">
        <f>IF(OR(dataraw[[#This Row],[R]]&gt;=2,dataraw[[#This Row],[Profit]]&gt;500),"GOOD","REVIEW")</f>
        <v>GOOD</v>
      </c>
      <c r="I8">
        <f>IFERROR(dataraw[[#This Row],[Profit]]/dataraw[[#This Row],[R]],"0")</f>
        <v>100</v>
      </c>
      <c r="J8" t="s">
        <v>12</v>
      </c>
      <c r="K8" s="1">
        <v>46091</v>
      </c>
    </row>
    <row r="9" spans="1:11" x14ac:dyDescent="0.3">
      <c r="A9">
        <v>77</v>
      </c>
      <c r="B9">
        <v>10006</v>
      </c>
      <c r="C9" t="s">
        <v>9</v>
      </c>
      <c r="D9" t="s">
        <v>10</v>
      </c>
      <c r="E9" t="s">
        <v>11</v>
      </c>
      <c r="F9">
        <v>200</v>
      </c>
      <c r="G9">
        <v>2</v>
      </c>
      <c r="H9" t="str">
        <f>IF(OR(dataraw[[#This Row],[R]]&gt;=2,dataraw[[#This Row],[Profit]]&gt;500),"GOOD","REVIEW")</f>
        <v>GOOD</v>
      </c>
      <c r="I9">
        <f>IFERROR(dataraw[[#This Row],[Profit]]/dataraw[[#This Row],[R]],"0")</f>
        <v>100</v>
      </c>
      <c r="J9" t="s">
        <v>12</v>
      </c>
      <c r="K9" s="1">
        <v>46198</v>
      </c>
    </row>
    <row r="10" spans="1:11" x14ac:dyDescent="0.3">
      <c r="A10">
        <v>99</v>
      </c>
      <c r="B10">
        <v>10006</v>
      </c>
      <c r="C10" t="s">
        <v>9</v>
      </c>
      <c r="D10" t="s">
        <v>10</v>
      </c>
      <c r="E10" t="s">
        <v>11</v>
      </c>
      <c r="F10">
        <v>125</v>
      </c>
      <c r="G10">
        <v>2.5</v>
      </c>
      <c r="H10" t="str">
        <f>IF(OR(dataraw[[#This Row],[R]]&gt;=2,dataraw[[#This Row],[Profit]]&gt;500),"GOOD","REVIEW")</f>
        <v>GOOD</v>
      </c>
      <c r="I10">
        <f>IFERROR(dataraw[[#This Row],[Profit]]/dataraw[[#This Row],[R]],"0")</f>
        <v>50</v>
      </c>
      <c r="J10" t="s">
        <v>12</v>
      </c>
      <c r="K10" s="1">
        <v>46101</v>
      </c>
    </row>
    <row r="11" spans="1:11" x14ac:dyDescent="0.3">
      <c r="A11">
        <v>97</v>
      </c>
      <c r="B11">
        <v>10006</v>
      </c>
      <c r="C11" t="s">
        <v>9</v>
      </c>
      <c r="D11" t="s">
        <v>10</v>
      </c>
      <c r="E11" t="s">
        <v>14</v>
      </c>
      <c r="F11">
        <v>100</v>
      </c>
      <c r="G11">
        <v>1</v>
      </c>
      <c r="H11" t="str">
        <f>IF(OR(dataraw[[#This Row],[R]]&gt;=2,dataraw[[#This Row],[Profit]]&gt;500),"GOOD","REVIEW")</f>
        <v>REVIEW</v>
      </c>
      <c r="I11">
        <f>IFERROR(dataraw[[#This Row],[Profit]]/dataraw[[#This Row],[R]],"0")</f>
        <v>100</v>
      </c>
      <c r="J11" t="s">
        <v>12</v>
      </c>
      <c r="K11" s="1">
        <v>46172</v>
      </c>
    </row>
    <row r="12" spans="1:11" x14ac:dyDescent="0.3">
      <c r="A12">
        <v>93</v>
      </c>
      <c r="B12">
        <v>10004</v>
      </c>
      <c r="C12" t="s">
        <v>9</v>
      </c>
      <c r="D12" t="s">
        <v>16</v>
      </c>
      <c r="E12" t="s">
        <v>11</v>
      </c>
      <c r="F12">
        <v>75</v>
      </c>
      <c r="G12">
        <v>1.5</v>
      </c>
      <c r="H12" t="str">
        <f>IF(OR(dataraw[[#This Row],[R]]&gt;=2,dataraw[[#This Row],[Profit]]&gt;500),"GOOD","REVIEW")</f>
        <v>REVIEW</v>
      </c>
      <c r="I12">
        <f>IFERROR(dataraw[[#This Row],[Profit]]/dataraw[[#This Row],[R]],"0")</f>
        <v>50</v>
      </c>
      <c r="J12" t="s">
        <v>12</v>
      </c>
      <c r="K12" s="1">
        <v>46053</v>
      </c>
    </row>
    <row r="13" spans="1:11" s="2" customFormat="1" x14ac:dyDescent="0.3">
      <c r="A13" s="2">
        <v>1</v>
      </c>
      <c r="B13" s="2">
        <v>10002</v>
      </c>
      <c r="C13" s="2" t="s">
        <v>9</v>
      </c>
      <c r="D13" s="2" t="s">
        <v>10</v>
      </c>
      <c r="E13" s="2" t="s">
        <v>11</v>
      </c>
      <c r="F13" s="2">
        <v>50</v>
      </c>
      <c r="G13" s="2">
        <v>1</v>
      </c>
      <c r="H13" s="2" t="str">
        <f>IF(OR(dataraw[[#This Row],[R]]&gt;=2,dataraw[[#This Row],[Profit]]&gt;500),"GOOD","REVIEW")</f>
        <v>REVIEW</v>
      </c>
      <c r="I13" s="2">
        <f>IFERROR(dataraw[[#This Row],[Profit]]/dataraw[[#This Row],[R]],"0")</f>
        <v>50</v>
      </c>
      <c r="J13" s="2" t="s">
        <v>12</v>
      </c>
      <c r="K13" s="3">
        <v>46190</v>
      </c>
    </row>
    <row r="14" spans="1:11" x14ac:dyDescent="0.3">
      <c r="A14">
        <v>38</v>
      </c>
      <c r="B14">
        <v>10005</v>
      </c>
      <c r="C14" t="s">
        <v>9</v>
      </c>
      <c r="D14" t="s">
        <v>10</v>
      </c>
      <c r="E14" t="s">
        <v>11</v>
      </c>
      <c r="F14">
        <v>-25</v>
      </c>
      <c r="G14">
        <v>-0.5</v>
      </c>
      <c r="H14" t="str">
        <f>IF(OR(dataraw[[#This Row],[R]]&gt;=2,dataraw[[#This Row],[Profit]]&gt;500),"GOOD","REVIEW")</f>
        <v>REVIEW</v>
      </c>
      <c r="I14">
        <f>IFERROR(dataraw[[#This Row],[Profit]]/dataraw[[#This Row],[R]],"0")</f>
        <v>50</v>
      </c>
      <c r="J14" t="s">
        <v>17</v>
      </c>
      <c r="K14" s="1">
        <v>46107</v>
      </c>
    </row>
    <row r="15" spans="1:11" x14ac:dyDescent="0.3">
      <c r="A15">
        <v>30</v>
      </c>
      <c r="B15">
        <v>10001</v>
      </c>
      <c r="C15" t="s">
        <v>9</v>
      </c>
      <c r="D15" t="s">
        <v>10</v>
      </c>
      <c r="E15" t="s">
        <v>14</v>
      </c>
      <c r="F15">
        <v>-50</v>
      </c>
      <c r="G15">
        <v>-0.5</v>
      </c>
      <c r="H15" t="str">
        <f>IF(OR(dataraw[[#This Row],[R]]&gt;=2,dataraw[[#This Row],[Profit]]&gt;500),"GOOD","REVIEW")</f>
        <v>REVIEW</v>
      </c>
      <c r="I15">
        <f>IFERROR(dataraw[[#This Row],[Profit]]/dataraw[[#This Row],[R]],"0")</f>
        <v>100</v>
      </c>
      <c r="J15" t="s">
        <v>17</v>
      </c>
      <c r="K15" s="1">
        <v>46167</v>
      </c>
    </row>
    <row r="16" spans="1:11" x14ac:dyDescent="0.3">
      <c r="A16">
        <v>46</v>
      </c>
      <c r="B16">
        <v>10001</v>
      </c>
      <c r="C16" t="s">
        <v>9</v>
      </c>
      <c r="D16" t="s">
        <v>16</v>
      </c>
      <c r="E16" t="s">
        <v>11</v>
      </c>
      <c r="F16">
        <v>-50</v>
      </c>
      <c r="G16">
        <v>-0.5</v>
      </c>
      <c r="H16" t="str">
        <f>IF(OR(dataraw[[#This Row],[R]]&gt;=2,dataraw[[#This Row],[Profit]]&gt;500),"GOOD","REVIEW")</f>
        <v>REVIEW</v>
      </c>
      <c r="I16">
        <f>IFERROR(dataraw[[#This Row],[Profit]]/dataraw[[#This Row],[R]],"0")</f>
        <v>100</v>
      </c>
      <c r="J16" t="s">
        <v>17</v>
      </c>
      <c r="K16" s="1">
        <v>46059</v>
      </c>
    </row>
    <row r="17" spans="1:11" x14ac:dyDescent="0.3">
      <c r="A17">
        <v>47</v>
      </c>
      <c r="B17">
        <v>10005</v>
      </c>
      <c r="C17" t="s">
        <v>9</v>
      </c>
      <c r="D17" t="s">
        <v>16</v>
      </c>
      <c r="E17" t="s">
        <v>11</v>
      </c>
      <c r="F17">
        <v>-50</v>
      </c>
      <c r="G17">
        <v>-0.5</v>
      </c>
      <c r="H17" t="str">
        <f>IF(OR(dataraw[[#This Row],[R]]&gt;=2,dataraw[[#This Row],[Profit]]&gt;500),"GOOD","REVIEW")</f>
        <v>REVIEW</v>
      </c>
      <c r="I17">
        <f>IFERROR(dataraw[[#This Row],[Profit]]/dataraw[[#This Row],[R]],"0")</f>
        <v>100</v>
      </c>
      <c r="J17" t="s">
        <v>17</v>
      </c>
      <c r="K17" s="1">
        <v>46197</v>
      </c>
    </row>
    <row r="18" spans="1:11" x14ac:dyDescent="0.3">
      <c r="A18">
        <v>52</v>
      </c>
      <c r="B18">
        <v>10005</v>
      </c>
      <c r="C18" t="s">
        <v>9</v>
      </c>
      <c r="D18" t="s">
        <v>16</v>
      </c>
      <c r="E18" t="s">
        <v>14</v>
      </c>
      <c r="F18">
        <v>-50</v>
      </c>
      <c r="G18">
        <v>-1</v>
      </c>
      <c r="H18" t="str">
        <f>IF(OR(dataraw[[#This Row],[R]]&gt;=2,dataraw[[#This Row],[Profit]]&gt;500),"GOOD","REVIEW")</f>
        <v>REVIEW</v>
      </c>
      <c r="I18">
        <f>IFERROR(dataraw[[#This Row],[Profit]]/dataraw[[#This Row],[R]],"0")</f>
        <v>50</v>
      </c>
      <c r="J18" t="s">
        <v>17</v>
      </c>
      <c r="K18" s="1">
        <v>46034</v>
      </c>
    </row>
    <row r="19" spans="1:11" x14ac:dyDescent="0.3">
      <c r="A19">
        <v>8</v>
      </c>
      <c r="B19">
        <v>10004</v>
      </c>
      <c r="C19" t="s">
        <v>9</v>
      </c>
      <c r="D19" t="s">
        <v>16</v>
      </c>
      <c r="E19" t="s">
        <v>11</v>
      </c>
      <c r="F19">
        <v>-100</v>
      </c>
      <c r="G19">
        <v>-1</v>
      </c>
      <c r="H19" t="str">
        <f>IF(OR(dataraw[[#This Row],[R]]&gt;=2,dataraw[[#This Row],[Profit]]&gt;500),"GOOD","REVIEW")</f>
        <v>REVIEW</v>
      </c>
      <c r="I19">
        <f>IFERROR(dataraw[[#This Row],[Profit]]/dataraw[[#This Row],[R]],"0")</f>
        <v>100</v>
      </c>
      <c r="J19" t="s">
        <v>17</v>
      </c>
      <c r="K19" s="1">
        <v>46086</v>
      </c>
    </row>
    <row r="20" spans="1:11" x14ac:dyDescent="0.3">
      <c r="A20">
        <v>70</v>
      </c>
      <c r="B20">
        <v>10004</v>
      </c>
      <c r="C20" t="s">
        <v>9</v>
      </c>
      <c r="D20" t="s">
        <v>16</v>
      </c>
      <c r="E20" t="s">
        <v>11</v>
      </c>
      <c r="F20">
        <v>-100</v>
      </c>
      <c r="G20">
        <v>-1</v>
      </c>
      <c r="H20" t="str">
        <f>IF(OR(dataraw[[#This Row],[R]]&gt;=2,dataraw[[#This Row],[Profit]]&gt;500),"GOOD","REVIEW")</f>
        <v>REVIEW</v>
      </c>
      <c r="I20">
        <f>IFERROR(dataraw[[#This Row],[Profit]]/dataraw[[#This Row],[R]],"0")</f>
        <v>100</v>
      </c>
      <c r="J20" t="s">
        <v>17</v>
      </c>
      <c r="K20" s="1">
        <v>46149</v>
      </c>
    </row>
    <row r="21" spans="1:11" x14ac:dyDescent="0.3">
      <c r="A21">
        <v>86</v>
      </c>
      <c r="B21">
        <v>10002</v>
      </c>
      <c r="C21" t="s">
        <v>9</v>
      </c>
      <c r="D21" t="s">
        <v>10</v>
      </c>
      <c r="E21" t="s">
        <v>14</v>
      </c>
      <c r="F21">
        <v>-100</v>
      </c>
      <c r="G21">
        <v>-1</v>
      </c>
      <c r="H21" t="str">
        <f>IF(OR(dataraw[[#This Row],[R]]&gt;=2,dataraw[[#This Row],[Profit]]&gt;500),"GOOD","REVIEW")</f>
        <v>REVIEW</v>
      </c>
      <c r="I21">
        <f>IFERROR(dataraw[[#This Row],[Profit]]/dataraw[[#This Row],[R]],"0")</f>
        <v>100</v>
      </c>
      <c r="J21" t="s">
        <v>17</v>
      </c>
      <c r="K21" s="1">
        <v>46169</v>
      </c>
    </row>
    <row r="22" spans="1:11" x14ac:dyDescent="0.3">
      <c r="A22">
        <v>61</v>
      </c>
      <c r="B22">
        <v>10005</v>
      </c>
      <c r="C22" t="s">
        <v>9</v>
      </c>
      <c r="D22" t="s">
        <v>10</v>
      </c>
      <c r="E22" t="s">
        <v>11</v>
      </c>
      <c r="F22">
        <v>-125</v>
      </c>
      <c r="G22">
        <v>-0.5</v>
      </c>
      <c r="H22" t="str">
        <f>IF(OR(dataraw[[#This Row],[R]]&gt;=2,dataraw[[#This Row],[Profit]]&gt;500),"GOOD","REVIEW")</f>
        <v>REVIEW</v>
      </c>
      <c r="I22">
        <f>IFERROR(dataraw[[#This Row],[Profit]]/dataraw[[#This Row],[R]],"0")</f>
        <v>250</v>
      </c>
      <c r="J22" t="s">
        <v>17</v>
      </c>
      <c r="K22" s="1">
        <v>46033</v>
      </c>
    </row>
    <row r="23" spans="1:11" x14ac:dyDescent="0.3">
      <c r="A23">
        <v>34</v>
      </c>
      <c r="B23">
        <v>10005</v>
      </c>
      <c r="C23" t="s">
        <v>9</v>
      </c>
      <c r="D23" t="s">
        <v>10</v>
      </c>
      <c r="E23" t="s">
        <v>11</v>
      </c>
      <c r="F23">
        <v>-150</v>
      </c>
      <c r="G23">
        <v>-1.5</v>
      </c>
      <c r="H23" t="str">
        <f>IF(OR(dataraw[[#This Row],[R]]&gt;=2,dataraw[[#This Row],[Profit]]&gt;500),"GOOD","REVIEW")</f>
        <v>REVIEW</v>
      </c>
      <c r="I23">
        <f>IFERROR(dataraw[[#This Row],[Profit]]/dataraw[[#This Row],[R]],"0")</f>
        <v>100</v>
      </c>
      <c r="J23" t="s">
        <v>17</v>
      </c>
      <c r="K23" s="1">
        <v>46107</v>
      </c>
    </row>
    <row r="24" spans="1:11" x14ac:dyDescent="0.3">
      <c r="A24">
        <v>13</v>
      </c>
      <c r="B24">
        <v>10006</v>
      </c>
      <c r="C24" t="s">
        <v>15</v>
      </c>
      <c r="D24" t="s">
        <v>10</v>
      </c>
      <c r="E24" t="s">
        <v>11</v>
      </c>
      <c r="F24">
        <v>750</v>
      </c>
      <c r="G24">
        <v>3</v>
      </c>
      <c r="H24" t="str">
        <f>IF(OR(dataraw[[#This Row],[R]]&gt;=2,dataraw[[#This Row],[Profit]]&gt;500),"GOOD","REVIEW")</f>
        <v>GOOD</v>
      </c>
      <c r="I24">
        <f>IFERROR(dataraw[[#This Row],[Profit]]/dataraw[[#This Row],[R]],"0")</f>
        <v>250</v>
      </c>
      <c r="J24" t="s">
        <v>12</v>
      </c>
      <c r="K24" s="1">
        <v>46094</v>
      </c>
    </row>
    <row r="25" spans="1:11" x14ac:dyDescent="0.3">
      <c r="A25">
        <v>98</v>
      </c>
      <c r="B25">
        <v>10001</v>
      </c>
      <c r="C25" t="s">
        <v>15</v>
      </c>
      <c r="D25" t="s">
        <v>10</v>
      </c>
      <c r="E25" t="s">
        <v>14</v>
      </c>
      <c r="F25">
        <v>750</v>
      </c>
      <c r="G25">
        <v>3</v>
      </c>
      <c r="H25" t="str">
        <f>IF(OR(dataraw[[#This Row],[R]]&gt;=2,dataraw[[#This Row],[Profit]]&gt;500),"GOOD","REVIEW")</f>
        <v>GOOD</v>
      </c>
      <c r="I25">
        <f>IFERROR(dataraw[[#This Row],[Profit]]/dataraw[[#This Row],[R]],"0")</f>
        <v>250</v>
      </c>
      <c r="J25" t="s">
        <v>12</v>
      </c>
      <c r="K25" s="1">
        <v>46088</v>
      </c>
    </row>
    <row r="26" spans="1:11" x14ac:dyDescent="0.3">
      <c r="A26">
        <v>68</v>
      </c>
      <c r="B26">
        <v>10004</v>
      </c>
      <c r="C26" t="s">
        <v>15</v>
      </c>
      <c r="D26" t="s">
        <v>10</v>
      </c>
      <c r="E26" t="s">
        <v>11</v>
      </c>
      <c r="F26">
        <v>625</v>
      </c>
      <c r="G26">
        <v>2.5</v>
      </c>
      <c r="H26" t="str">
        <f>IF(OR(dataraw[[#This Row],[R]]&gt;=2,dataraw[[#This Row],[Profit]]&gt;500),"GOOD","REVIEW")</f>
        <v>GOOD</v>
      </c>
      <c r="I26">
        <f>IFERROR(dataraw[[#This Row],[Profit]]/dataraw[[#This Row],[R]],"0")</f>
        <v>250</v>
      </c>
      <c r="J26" t="s">
        <v>12</v>
      </c>
      <c r="K26" s="1">
        <v>46207</v>
      </c>
    </row>
    <row r="27" spans="1:11" x14ac:dyDescent="0.3">
      <c r="A27">
        <v>85</v>
      </c>
      <c r="B27">
        <v>10003</v>
      </c>
      <c r="C27" t="s">
        <v>15</v>
      </c>
      <c r="D27" t="s">
        <v>16</v>
      </c>
      <c r="E27" t="s">
        <v>11</v>
      </c>
      <c r="F27">
        <v>600</v>
      </c>
      <c r="G27">
        <v>3</v>
      </c>
      <c r="H27" t="str">
        <f>IF(OR(dataraw[[#This Row],[R]]&gt;=2,dataraw[[#This Row],[Profit]]&gt;500),"GOOD","REVIEW")</f>
        <v>GOOD</v>
      </c>
      <c r="I27">
        <f>IFERROR(dataraw[[#This Row],[Profit]]/dataraw[[#This Row],[R]],"0")</f>
        <v>200</v>
      </c>
      <c r="J27" t="s">
        <v>12</v>
      </c>
      <c r="K27" s="1">
        <v>46151</v>
      </c>
    </row>
    <row r="28" spans="1:11" x14ac:dyDescent="0.3">
      <c r="A28">
        <v>15</v>
      </c>
      <c r="B28">
        <v>10004</v>
      </c>
      <c r="C28" t="s">
        <v>15</v>
      </c>
      <c r="D28" t="s">
        <v>16</v>
      </c>
      <c r="E28" t="s">
        <v>14</v>
      </c>
      <c r="F28">
        <v>500</v>
      </c>
      <c r="G28">
        <v>2.5</v>
      </c>
      <c r="H28" t="str">
        <f>IF(OR(dataraw[[#This Row],[R]]&gt;=2,dataraw[[#This Row],[Profit]]&gt;500),"GOOD","REVIEW")</f>
        <v>GOOD</v>
      </c>
      <c r="I28">
        <f>IFERROR(dataraw[[#This Row],[Profit]]/dataraw[[#This Row],[R]],"0")</f>
        <v>200</v>
      </c>
      <c r="J28" t="s">
        <v>12</v>
      </c>
      <c r="K28" s="1">
        <v>46187</v>
      </c>
    </row>
    <row r="29" spans="1:11" x14ac:dyDescent="0.3">
      <c r="A29">
        <v>37</v>
      </c>
      <c r="B29">
        <v>10003</v>
      </c>
      <c r="C29" t="s">
        <v>15</v>
      </c>
      <c r="D29" t="s">
        <v>16</v>
      </c>
      <c r="E29" t="s">
        <v>14</v>
      </c>
      <c r="F29">
        <v>500</v>
      </c>
      <c r="G29">
        <v>2</v>
      </c>
      <c r="H29" t="str">
        <f>IF(OR(dataraw[[#This Row],[R]]&gt;=2,dataraw[[#This Row],[Profit]]&gt;500),"GOOD","REVIEW")</f>
        <v>GOOD</v>
      </c>
      <c r="I29">
        <f>IFERROR(dataraw[[#This Row],[Profit]]/dataraw[[#This Row],[R]],"0")</f>
        <v>250</v>
      </c>
      <c r="J29" t="s">
        <v>12</v>
      </c>
      <c r="K29" s="1">
        <v>46093</v>
      </c>
    </row>
    <row r="30" spans="1:11" x14ac:dyDescent="0.3">
      <c r="A30">
        <v>71</v>
      </c>
      <c r="B30">
        <v>10004</v>
      </c>
      <c r="C30" t="s">
        <v>15</v>
      </c>
      <c r="D30" t="s">
        <v>16</v>
      </c>
      <c r="E30" t="s">
        <v>11</v>
      </c>
      <c r="F30">
        <v>500</v>
      </c>
      <c r="G30">
        <v>2</v>
      </c>
      <c r="H30" t="str">
        <f>IF(OR(dataraw[[#This Row],[R]]&gt;=2,dataraw[[#This Row],[Profit]]&gt;500),"GOOD","REVIEW")</f>
        <v>GOOD</v>
      </c>
      <c r="I30">
        <f>IFERROR(dataraw[[#This Row],[Profit]]/dataraw[[#This Row],[R]],"0")</f>
        <v>250</v>
      </c>
      <c r="J30" t="s">
        <v>12</v>
      </c>
      <c r="K30" s="1">
        <v>46151</v>
      </c>
    </row>
    <row r="31" spans="1:11" x14ac:dyDescent="0.3">
      <c r="A31">
        <v>88</v>
      </c>
      <c r="B31">
        <v>10004</v>
      </c>
      <c r="C31" t="s">
        <v>15</v>
      </c>
      <c r="D31" t="s">
        <v>16</v>
      </c>
      <c r="E31" t="s">
        <v>11</v>
      </c>
      <c r="F31">
        <v>500</v>
      </c>
      <c r="G31">
        <v>2</v>
      </c>
      <c r="H31" t="str">
        <f>IF(OR(dataraw[[#This Row],[R]]&gt;=2,dataraw[[#This Row],[Profit]]&gt;500),"GOOD","REVIEW")</f>
        <v>GOOD</v>
      </c>
      <c r="I31">
        <f>IFERROR(dataraw[[#This Row],[Profit]]/dataraw[[#This Row],[R]],"0")</f>
        <v>250</v>
      </c>
      <c r="J31" t="s">
        <v>12</v>
      </c>
      <c r="K31" s="1">
        <v>46204</v>
      </c>
    </row>
    <row r="32" spans="1:11" x14ac:dyDescent="0.3">
      <c r="A32">
        <v>76</v>
      </c>
      <c r="B32">
        <v>10005</v>
      </c>
      <c r="C32" t="s">
        <v>15</v>
      </c>
      <c r="D32" t="s">
        <v>10</v>
      </c>
      <c r="E32" t="s">
        <v>14</v>
      </c>
      <c r="F32">
        <v>375</v>
      </c>
      <c r="G32">
        <v>1.5</v>
      </c>
      <c r="H32" t="str">
        <f>IF(OR(dataraw[[#This Row],[R]]&gt;=2,dataraw[[#This Row],[Profit]]&gt;500),"GOOD","REVIEW")</f>
        <v>REVIEW</v>
      </c>
      <c r="I32">
        <f>IFERROR(dataraw[[#This Row],[Profit]]/dataraw[[#This Row],[R]],"0")</f>
        <v>250</v>
      </c>
      <c r="J32" t="s">
        <v>12</v>
      </c>
      <c r="K32" s="1">
        <v>46034</v>
      </c>
    </row>
    <row r="33" spans="1:11" x14ac:dyDescent="0.3">
      <c r="A33">
        <v>92</v>
      </c>
      <c r="B33">
        <v>10001</v>
      </c>
      <c r="C33" t="s">
        <v>15</v>
      </c>
      <c r="D33" t="s">
        <v>16</v>
      </c>
      <c r="E33" t="s">
        <v>14</v>
      </c>
      <c r="F33">
        <v>375</v>
      </c>
      <c r="G33">
        <v>1.5</v>
      </c>
      <c r="H33" t="str">
        <f>IF(OR(dataraw[[#This Row],[R]]&gt;=2,dataraw[[#This Row],[Profit]]&gt;500),"GOOD","REVIEW")</f>
        <v>REVIEW</v>
      </c>
      <c r="I33">
        <f>IFERROR(dataraw[[#This Row],[Profit]]/dataraw[[#This Row],[R]],"0")</f>
        <v>250</v>
      </c>
      <c r="J33" t="s">
        <v>12</v>
      </c>
      <c r="K33" s="1">
        <v>46030</v>
      </c>
    </row>
    <row r="34" spans="1:11" x14ac:dyDescent="0.3">
      <c r="A34">
        <v>10</v>
      </c>
      <c r="B34">
        <v>10004</v>
      </c>
      <c r="C34" t="s">
        <v>15</v>
      </c>
      <c r="D34" t="s">
        <v>10</v>
      </c>
      <c r="E34" t="s">
        <v>14</v>
      </c>
      <c r="F34">
        <v>300</v>
      </c>
      <c r="G34">
        <v>3</v>
      </c>
      <c r="H34" t="str">
        <f>IF(OR(dataraw[[#This Row],[R]]&gt;=2,dataraw[[#This Row],[Profit]]&gt;500),"GOOD","REVIEW")</f>
        <v>GOOD</v>
      </c>
      <c r="I34">
        <f>IFERROR(dataraw[[#This Row],[Profit]]/dataraw[[#This Row],[R]],"0")</f>
        <v>100</v>
      </c>
      <c r="J34" t="s">
        <v>12</v>
      </c>
      <c r="K34" s="1">
        <v>46182</v>
      </c>
    </row>
    <row r="35" spans="1:11" x14ac:dyDescent="0.3">
      <c r="A35">
        <v>23</v>
      </c>
      <c r="B35">
        <v>10003</v>
      </c>
      <c r="C35" t="s">
        <v>15</v>
      </c>
      <c r="D35" t="s">
        <v>10</v>
      </c>
      <c r="E35" t="s">
        <v>14</v>
      </c>
      <c r="F35">
        <v>300</v>
      </c>
      <c r="G35">
        <v>3</v>
      </c>
      <c r="H35" t="str">
        <f>IF(OR(dataraw[[#This Row],[R]]&gt;=2,dataraw[[#This Row],[Profit]]&gt;500),"GOOD","REVIEW")</f>
        <v>GOOD</v>
      </c>
      <c r="I35">
        <f>IFERROR(dataraw[[#This Row],[Profit]]/dataraw[[#This Row],[R]],"0")</f>
        <v>100</v>
      </c>
      <c r="J35" t="s">
        <v>12</v>
      </c>
      <c r="K35" s="1">
        <v>46057</v>
      </c>
    </row>
    <row r="36" spans="1:11" x14ac:dyDescent="0.3">
      <c r="A36">
        <v>54</v>
      </c>
      <c r="B36">
        <v>10006</v>
      </c>
      <c r="C36" t="s">
        <v>15</v>
      </c>
      <c r="D36" t="s">
        <v>16</v>
      </c>
      <c r="E36" t="s">
        <v>14</v>
      </c>
      <c r="F36">
        <v>300</v>
      </c>
      <c r="G36">
        <v>3</v>
      </c>
      <c r="H36" t="str">
        <f>IF(OR(dataraw[[#This Row],[R]]&gt;=2,dataraw[[#This Row],[Profit]]&gt;500),"GOOD","REVIEW")</f>
        <v>GOOD</v>
      </c>
      <c r="I36">
        <f>IFERROR(dataraw[[#This Row],[Profit]]/dataraw[[#This Row],[R]],"0")</f>
        <v>100</v>
      </c>
      <c r="J36" t="s">
        <v>12</v>
      </c>
      <c r="K36" s="1">
        <v>46125</v>
      </c>
    </row>
    <row r="37" spans="1:11" x14ac:dyDescent="0.3">
      <c r="A37">
        <v>12</v>
      </c>
      <c r="B37">
        <v>10006</v>
      </c>
      <c r="C37" t="s">
        <v>15</v>
      </c>
      <c r="D37" t="s">
        <v>16</v>
      </c>
      <c r="E37" t="s">
        <v>14</v>
      </c>
      <c r="F37">
        <v>250</v>
      </c>
      <c r="G37">
        <v>2.5</v>
      </c>
      <c r="H37" t="str">
        <f>IF(OR(dataraw[[#This Row],[R]]&gt;=2,dataraw[[#This Row],[Profit]]&gt;500),"GOOD","REVIEW")</f>
        <v>GOOD</v>
      </c>
      <c r="I37">
        <f>IFERROR(dataraw[[#This Row],[Profit]]/dataraw[[#This Row],[R]],"0")</f>
        <v>100</v>
      </c>
      <c r="J37" t="s">
        <v>12</v>
      </c>
      <c r="K37" s="1">
        <v>46043</v>
      </c>
    </row>
    <row r="38" spans="1:11" x14ac:dyDescent="0.3">
      <c r="A38">
        <v>63</v>
      </c>
      <c r="B38">
        <v>10001</v>
      </c>
      <c r="C38" t="s">
        <v>15</v>
      </c>
      <c r="D38" t="s">
        <v>10</v>
      </c>
      <c r="E38" t="s">
        <v>11</v>
      </c>
      <c r="F38">
        <v>250</v>
      </c>
      <c r="G38">
        <v>1</v>
      </c>
      <c r="H38" t="str">
        <f>IF(OR(dataraw[[#This Row],[R]]&gt;=2,dataraw[[#This Row],[Profit]]&gt;500),"GOOD","REVIEW")</f>
        <v>REVIEW</v>
      </c>
      <c r="I38">
        <f>IFERROR(dataraw[[#This Row],[Profit]]/dataraw[[#This Row],[R]],"0")</f>
        <v>250</v>
      </c>
      <c r="J38" t="s">
        <v>12</v>
      </c>
      <c r="K38" s="1">
        <v>46135</v>
      </c>
    </row>
    <row r="39" spans="1:11" x14ac:dyDescent="0.3">
      <c r="A39">
        <v>95</v>
      </c>
      <c r="B39">
        <v>10002</v>
      </c>
      <c r="C39" t="s">
        <v>15</v>
      </c>
      <c r="D39" t="s">
        <v>16</v>
      </c>
      <c r="E39" t="s">
        <v>14</v>
      </c>
      <c r="F39">
        <v>250</v>
      </c>
      <c r="G39">
        <v>2.5</v>
      </c>
      <c r="H39" t="str">
        <f>IF(OR(dataraw[[#This Row],[R]]&gt;=2,dataraw[[#This Row],[Profit]]&gt;500),"GOOD","REVIEW")</f>
        <v>GOOD</v>
      </c>
      <c r="I39">
        <f>IFERROR(dataraw[[#This Row],[Profit]]/dataraw[[#This Row],[R]],"0")</f>
        <v>100</v>
      </c>
      <c r="J39" t="s">
        <v>12</v>
      </c>
      <c r="K39" s="1">
        <v>46065</v>
      </c>
    </row>
    <row r="40" spans="1:11" x14ac:dyDescent="0.3">
      <c r="A40">
        <v>84</v>
      </c>
      <c r="B40">
        <v>10003</v>
      </c>
      <c r="C40" t="s">
        <v>15</v>
      </c>
      <c r="D40" t="s">
        <v>16</v>
      </c>
      <c r="E40" t="s">
        <v>11</v>
      </c>
      <c r="F40">
        <v>200</v>
      </c>
      <c r="G40">
        <v>2</v>
      </c>
      <c r="H40" t="str">
        <f>IF(OR(dataraw[[#This Row],[R]]&gt;=2,dataraw[[#This Row],[Profit]]&gt;500),"GOOD","REVIEW")</f>
        <v>GOOD</v>
      </c>
      <c r="I40">
        <f>IFERROR(dataraw[[#This Row],[Profit]]/dataraw[[#This Row],[R]],"0")</f>
        <v>100</v>
      </c>
      <c r="J40" t="s">
        <v>12</v>
      </c>
      <c r="K40" s="1">
        <v>46142</v>
      </c>
    </row>
    <row r="41" spans="1:11" x14ac:dyDescent="0.3">
      <c r="A41">
        <v>33</v>
      </c>
      <c r="B41">
        <v>10001</v>
      </c>
      <c r="C41" t="s">
        <v>15</v>
      </c>
      <c r="D41" t="s">
        <v>16</v>
      </c>
      <c r="E41" t="s">
        <v>14</v>
      </c>
      <c r="F41">
        <v>150</v>
      </c>
      <c r="G41">
        <v>3</v>
      </c>
      <c r="H41" t="str">
        <f>IF(OR(dataraw[[#This Row],[R]]&gt;=2,dataraw[[#This Row],[Profit]]&gt;500),"GOOD","REVIEW")</f>
        <v>GOOD</v>
      </c>
      <c r="I41">
        <f>IFERROR(dataraw[[#This Row],[Profit]]/dataraw[[#This Row],[R]],"0")</f>
        <v>50</v>
      </c>
      <c r="J41" t="s">
        <v>12</v>
      </c>
      <c r="K41" s="1">
        <v>46066</v>
      </c>
    </row>
    <row r="42" spans="1:11" x14ac:dyDescent="0.3">
      <c r="A42">
        <v>100</v>
      </c>
      <c r="B42">
        <v>10004</v>
      </c>
      <c r="C42" t="s">
        <v>15</v>
      </c>
      <c r="D42" t="s">
        <v>16</v>
      </c>
      <c r="E42" t="s">
        <v>14</v>
      </c>
      <c r="F42">
        <v>150</v>
      </c>
      <c r="G42">
        <v>1.5</v>
      </c>
      <c r="H42" t="str">
        <f>IF(OR(dataraw[[#This Row],[R]]&gt;=2,dataraw[[#This Row],[Profit]]&gt;500),"GOOD","REVIEW")</f>
        <v>REVIEW</v>
      </c>
      <c r="I42">
        <f>IFERROR(dataraw[[#This Row],[Profit]]/dataraw[[#This Row],[R]],"0")</f>
        <v>100</v>
      </c>
      <c r="J42" t="s">
        <v>12</v>
      </c>
      <c r="K42" s="1">
        <v>46202</v>
      </c>
    </row>
    <row r="43" spans="1:11" x14ac:dyDescent="0.3">
      <c r="A43">
        <v>3</v>
      </c>
      <c r="B43">
        <v>10004</v>
      </c>
      <c r="C43" t="s">
        <v>15</v>
      </c>
      <c r="D43" t="s">
        <v>16</v>
      </c>
      <c r="E43" t="s">
        <v>14</v>
      </c>
      <c r="F43">
        <v>100</v>
      </c>
      <c r="G43">
        <v>1</v>
      </c>
      <c r="H43" t="str">
        <f>IF(OR(dataraw[[#This Row],[R]]&gt;=2,dataraw[[#This Row],[Profit]]&gt;500),"GOOD","REVIEW")</f>
        <v>REVIEW</v>
      </c>
      <c r="I43">
        <f>IFERROR(dataraw[[#This Row],[Profit]]/dataraw[[#This Row],[R]],"0")</f>
        <v>100</v>
      </c>
      <c r="J43" t="s">
        <v>12</v>
      </c>
      <c r="K43" s="1">
        <v>46170</v>
      </c>
    </row>
    <row r="44" spans="1:11" x14ac:dyDescent="0.3">
      <c r="A44">
        <v>7</v>
      </c>
      <c r="B44">
        <v>10006</v>
      </c>
      <c r="C44" t="s">
        <v>15</v>
      </c>
      <c r="D44" t="s">
        <v>10</v>
      </c>
      <c r="E44" t="s">
        <v>14</v>
      </c>
      <c r="F44">
        <v>100</v>
      </c>
      <c r="G44">
        <v>2</v>
      </c>
      <c r="H44" t="str">
        <f>IF(OR(dataraw[[#This Row],[R]]&gt;=2,dataraw[[#This Row],[Profit]]&gt;500),"GOOD","REVIEW")</f>
        <v>GOOD</v>
      </c>
      <c r="I44">
        <f>IFERROR(dataraw[[#This Row],[Profit]]/dataraw[[#This Row],[R]],"0")</f>
        <v>50</v>
      </c>
      <c r="J44" t="s">
        <v>12</v>
      </c>
      <c r="K44" s="1">
        <v>46174</v>
      </c>
    </row>
    <row r="45" spans="1:11" x14ac:dyDescent="0.3">
      <c r="A45">
        <v>20</v>
      </c>
      <c r="B45">
        <v>10006</v>
      </c>
      <c r="C45" t="s">
        <v>15</v>
      </c>
      <c r="D45" t="s">
        <v>10</v>
      </c>
      <c r="E45" t="s">
        <v>14</v>
      </c>
      <c r="F45">
        <v>100</v>
      </c>
      <c r="G45">
        <v>1</v>
      </c>
      <c r="H45" t="str">
        <f>IF(OR(dataraw[[#This Row],[R]]&gt;=2,dataraw[[#This Row],[Profit]]&gt;500),"GOOD","REVIEW")</f>
        <v>REVIEW</v>
      </c>
      <c r="I45">
        <f>IFERROR(dataraw[[#This Row],[Profit]]/dataraw[[#This Row],[R]],"0")</f>
        <v>100</v>
      </c>
      <c r="J45" t="s">
        <v>12</v>
      </c>
      <c r="K45" s="1">
        <v>46041</v>
      </c>
    </row>
    <row r="46" spans="1:11" x14ac:dyDescent="0.3">
      <c r="A46">
        <v>62</v>
      </c>
      <c r="B46">
        <v>10004</v>
      </c>
      <c r="C46" t="s">
        <v>15</v>
      </c>
      <c r="D46" t="s">
        <v>16</v>
      </c>
      <c r="E46" t="s">
        <v>11</v>
      </c>
      <c r="F46">
        <v>50</v>
      </c>
      <c r="G46">
        <v>1</v>
      </c>
      <c r="H46" t="str">
        <f>IF(OR(dataraw[[#This Row],[R]]&gt;=2,dataraw[[#This Row],[Profit]]&gt;500),"GOOD","REVIEW")</f>
        <v>REVIEW</v>
      </c>
      <c r="I46">
        <f>IFERROR(dataraw[[#This Row],[Profit]]/dataraw[[#This Row],[R]],"0")</f>
        <v>50</v>
      </c>
      <c r="J46" t="s">
        <v>12</v>
      </c>
      <c r="K46" s="1">
        <v>46133</v>
      </c>
    </row>
    <row r="47" spans="1:11" x14ac:dyDescent="0.3">
      <c r="A47">
        <v>24</v>
      </c>
      <c r="B47">
        <v>10006</v>
      </c>
      <c r="C47" t="s">
        <v>15</v>
      </c>
      <c r="D47" t="s">
        <v>10</v>
      </c>
      <c r="E47" t="s">
        <v>14</v>
      </c>
      <c r="F47">
        <v>-25</v>
      </c>
      <c r="G47">
        <v>-0.5</v>
      </c>
      <c r="H47" t="str">
        <f>IF(OR(dataraw[[#This Row],[R]]&gt;=2,dataraw[[#This Row],[Profit]]&gt;500),"GOOD","REVIEW")</f>
        <v>REVIEW</v>
      </c>
      <c r="I47">
        <f>IFERROR(dataraw[[#This Row],[Profit]]/dataraw[[#This Row],[R]],"0")</f>
        <v>50</v>
      </c>
      <c r="J47" t="s">
        <v>17</v>
      </c>
      <c r="K47" s="1">
        <v>46177</v>
      </c>
    </row>
    <row r="48" spans="1:11" x14ac:dyDescent="0.3">
      <c r="A48">
        <v>14</v>
      </c>
      <c r="B48">
        <v>10001</v>
      </c>
      <c r="C48" t="s">
        <v>15</v>
      </c>
      <c r="D48" t="s">
        <v>10</v>
      </c>
      <c r="E48" t="s">
        <v>11</v>
      </c>
      <c r="F48">
        <v>-50</v>
      </c>
      <c r="G48">
        <v>-0.5</v>
      </c>
      <c r="H48" t="str">
        <f>IF(OR(dataraw[[#This Row],[R]]&gt;=2,dataraw[[#This Row],[Profit]]&gt;500),"GOOD","REVIEW")</f>
        <v>REVIEW</v>
      </c>
      <c r="I48">
        <f>IFERROR(dataraw[[#This Row],[Profit]]/dataraw[[#This Row],[R]],"0")</f>
        <v>100</v>
      </c>
      <c r="J48" t="s">
        <v>17</v>
      </c>
      <c r="K48" s="1">
        <v>46119</v>
      </c>
    </row>
    <row r="49" spans="1:11" x14ac:dyDescent="0.3">
      <c r="A49">
        <v>49</v>
      </c>
      <c r="B49">
        <v>10001</v>
      </c>
      <c r="C49" t="s">
        <v>15</v>
      </c>
      <c r="D49" t="s">
        <v>10</v>
      </c>
      <c r="E49" t="s">
        <v>11</v>
      </c>
      <c r="F49">
        <v>-50</v>
      </c>
      <c r="G49">
        <v>-0.5</v>
      </c>
      <c r="H49" t="str">
        <f>IF(OR(dataraw[[#This Row],[R]]&gt;=2,dataraw[[#This Row],[Profit]]&gt;500),"GOOD","REVIEW")</f>
        <v>REVIEW</v>
      </c>
      <c r="I49">
        <f>IFERROR(dataraw[[#This Row],[Profit]]/dataraw[[#This Row],[R]],"0")</f>
        <v>100</v>
      </c>
      <c r="J49" t="s">
        <v>17</v>
      </c>
      <c r="K49" s="1">
        <v>46095</v>
      </c>
    </row>
    <row r="50" spans="1:11" x14ac:dyDescent="0.3">
      <c r="A50">
        <v>79</v>
      </c>
      <c r="B50">
        <v>10001</v>
      </c>
      <c r="C50" t="s">
        <v>15</v>
      </c>
      <c r="D50" t="s">
        <v>10</v>
      </c>
      <c r="E50" t="s">
        <v>14</v>
      </c>
      <c r="F50">
        <v>-50</v>
      </c>
      <c r="G50">
        <v>-1</v>
      </c>
      <c r="H50" t="str">
        <f>IF(OR(dataraw[[#This Row],[R]]&gt;=2,dataraw[[#This Row],[Profit]]&gt;500),"GOOD","REVIEW")</f>
        <v>REVIEW</v>
      </c>
      <c r="I50">
        <f>IFERROR(dataraw[[#This Row],[Profit]]/dataraw[[#This Row],[R]],"0")</f>
        <v>50</v>
      </c>
      <c r="J50" t="s">
        <v>17</v>
      </c>
      <c r="K50" s="1">
        <v>46128</v>
      </c>
    </row>
    <row r="51" spans="1:11" x14ac:dyDescent="0.3">
      <c r="A51">
        <v>40</v>
      </c>
      <c r="B51">
        <v>10005</v>
      </c>
      <c r="C51" t="s">
        <v>15</v>
      </c>
      <c r="D51" t="s">
        <v>16</v>
      </c>
      <c r="E51" t="s">
        <v>11</v>
      </c>
      <c r="F51">
        <v>-75</v>
      </c>
      <c r="G51">
        <v>-1.5</v>
      </c>
      <c r="H51" t="str">
        <f>IF(OR(dataraw[[#This Row],[R]]&gt;=2,dataraw[[#This Row],[Profit]]&gt;500),"GOOD","REVIEW")</f>
        <v>REVIEW</v>
      </c>
      <c r="I51">
        <f>IFERROR(dataraw[[#This Row],[Profit]]/dataraw[[#This Row],[R]],"0")</f>
        <v>50</v>
      </c>
      <c r="J51" t="s">
        <v>17</v>
      </c>
      <c r="K51" s="1">
        <v>46099</v>
      </c>
    </row>
    <row r="52" spans="1:11" x14ac:dyDescent="0.3">
      <c r="A52">
        <v>39</v>
      </c>
      <c r="B52">
        <v>10003</v>
      </c>
      <c r="C52" t="s">
        <v>15</v>
      </c>
      <c r="D52" t="s">
        <v>16</v>
      </c>
      <c r="E52" t="s">
        <v>14</v>
      </c>
      <c r="F52">
        <v>-100</v>
      </c>
      <c r="G52">
        <v>-0.5</v>
      </c>
      <c r="H52" t="str">
        <f>IF(OR(dataraw[[#This Row],[R]]&gt;=2,dataraw[[#This Row],[Profit]]&gt;500),"GOOD","REVIEW")</f>
        <v>REVIEW</v>
      </c>
      <c r="I52">
        <f>IFERROR(dataraw[[#This Row],[Profit]]/dataraw[[#This Row],[R]],"0")</f>
        <v>200</v>
      </c>
      <c r="J52" t="s">
        <v>17</v>
      </c>
      <c r="K52" s="1">
        <v>46164</v>
      </c>
    </row>
    <row r="53" spans="1:11" x14ac:dyDescent="0.3">
      <c r="A53">
        <v>29</v>
      </c>
      <c r="B53">
        <v>10002</v>
      </c>
      <c r="C53" t="s">
        <v>15</v>
      </c>
      <c r="D53" t="s">
        <v>16</v>
      </c>
      <c r="E53" t="s">
        <v>11</v>
      </c>
      <c r="F53">
        <v>-125</v>
      </c>
      <c r="G53">
        <v>-0.5</v>
      </c>
      <c r="H53" t="str">
        <f>IF(OR(dataraw[[#This Row],[R]]&gt;=2,dataraw[[#This Row],[Profit]]&gt;500),"GOOD","REVIEW")</f>
        <v>REVIEW</v>
      </c>
      <c r="I53">
        <f>IFERROR(dataraw[[#This Row],[Profit]]/dataraw[[#This Row],[R]],"0")</f>
        <v>250</v>
      </c>
      <c r="J53" t="s">
        <v>17</v>
      </c>
      <c r="K53" s="1">
        <v>46135</v>
      </c>
    </row>
    <row r="54" spans="1:11" x14ac:dyDescent="0.3">
      <c r="A54">
        <v>69</v>
      </c>
      <c r="B54">
        <v>10005</v>
      </c>
      <c r="C54" t="s">
        <v>15</v>
      </c>
      <c r="D54" t="s">
        <v>16</v>
      </c>
      <c r="E54" t="s">
        <v>11</v>
      </c>
      <c r="F54">
        <v>-125</v>
      </c>
      <c r="G54">
        <v>-0.5</v>
      </c>
      <c r="H54" t="str">
        <f>IF(OR(dataraw[[#This Row],[R]]&gt;=2,dataraw[[#This Row],[Profit]]&gt;500),"GOOD","REVIEW")</f>
        <v>REVIEW</v>
      </c>
      <c r="I54">
        <f>IFERROR(dataraw[[#This Row],[Profit]]/dataraw[[#This Row],[R]],"0")</f>
        <v>250</v>
      </c>
      <c r="J54" t="s">
        <v>17</v>
      </c>
      <c r="K54" s="1">
        <v>46042</v>
      </c>
    </row>
    <row r="55" spans="1:11" x14ac:dyDescent="0.3">
      <c r="A55">
        <v>22</v>
      </c>
      <c r="B55">
        <v>10006</v>
      </c>
      <c r="C55" t="s">
        <v>15</v>
      </c>
      <c r="D55" t="s">
        <v>16</v>
      </c>
      <c r="E55" t="s">
        <v>11</v>
      </c>
      <c r="F55">
        <v>-250</v>
      </c>
      <c r="G55">
        <v>-1</v>
      </c>
      <c r="H55" t="str">
        <f>IF(OR(dataraw[[#This Row],[R]]&gt;=2,dataraw[[#This Row],[Profit]]&gt;500),"GOOD","REVIEW")</f>
        <v>REVIEW</v>
      </c>
      <c r="I55">
        <f>IFERROR(dataraw[[#This Row],[Profit]]/dataraw[[#This Row],[R]],"0")</f>
        <v>250</v>
      </c>
      <c r="J55" t="s">
        <v>17</v>
      </c>
      <c r="K55" s="1">
        <v>46165</v>
      </c>
    </row>
    <row r="56" spans="1:11" x14ac:dyDescent="0.3">
      <c r="A56">
        <v>36</v>
      </c>
      <c r="B56">
        <v>10004</v>
      </c>
      <c r="C56" t="s">
        <v>15</v>
      </c>
      <c r="D56" t="s">
        <v>10</v>
      </c>
      <c r="E56" t="s">
        <v>14</v>
      </c>
      <c r="F56">
        <v>-300</v>
      </c>
      <c r="G56">
        <v>-1.5</v>
      </c>
      <c r="H56" t="str">
        <f>IF(OR(dataraw[[#This Row],[R]]&gt;=2,dataraw[[#This Row],[Profit]]&gt;500),"GOOD","REVIEW")</f>
        <v>REVIEW</v>
      </c>
      <c r="I56">
        <f>IFERROR(dataraw[[#This Row],[Profit]]/dataraw[[#This Row],[R]],"0")</f>
        <v>200</v>
      </c>
      <c r="J56" t="s">
        <v>17</v>
      </c>
      <c r="K56" s="1">
        <v>46057</v>
      </c>
    </row>
    <row r="57" spans="1:11" x14ac:dyDescent="0.3">
      <c r="A57">
        <v>32</v>
      </c>
      <c r="B57">
        <v>10003</v>
      </c>
      <c r="C57" t="s">
        <v>13</v>
      </c>
      <c r="D57" t="s">
        <v>16</v>
      </c>
      <c r="E57" t="s">
        <v>11</v>
      </c>
      <c r="F57">
        <v>750</v>
      </c>
      <c r="G57">
        <v>3</v>
      </c>
      <c r="H57" t="str">
        <f>IF(OR(dataraw[[#This Row],[R]]&gt;=2,dataraw[[#This Row],[Profit]]&gt;500),"GOOD","REVIEW")</f>
        <v>GOOD</v>
      </c>
      <c r="I57">
        <f>IFERROR(dataraw[[#This Row],[Profit]]/dataraw[[#This Row],[R]],"0")</f>
        <v>250</v>
      </c>
      <c r="J57" t="s">
        <v>12</v>
      </c>
      <c r="K57" s="1">
        <v>46027</v>
      </c>
    </row>
    <row r="58" spans="1:11" x14ac:dyDescent="0.3">
      <c r="A58">
        <v>73</v>
      </c>
      <c r="B58">
        <v>10002</v>
      </c>
      <c r="C58" t="s">
        <v>13</v>
      </c>
      <c r="D58" t="s">
        <v>10</v>
      </c>
      <c r="E58" t="s">
        <v>11</v>
      </c>
      <c r="F58">
        <v>500</v>
      </c>
      <c r="G58">
        <v>2.5</v>
      </c>
      <c r="H58" t="str">
        <f>IF(OR(dataraw[[#This Row],[R]]&gt;=2,dataraw[[#This Row],[Profit]]&gt;500),"GOOD","REVIEW")</f>
        <v>GOOD</v>
      </c>
      <c r="I58">
        <f>IFERROR(dataraw[[#This Row],[Profit]]/dataraw[[#This Row],[R]],"0")</f>
        <v>200</v>
      </c>
      <c r="J58" t="s">
        <v>12</v>
      </c>
      <c r="K58" s="1">
        <v>46191</v>
      </c>
    </row>
    <row r="59" spans="1:11" x14ac:dyDescent="0.3">
      <c r="A59">
        <v>74</v>
      </c>
      <c r="B59">
        <v>10004</v>
      </c>
      <c r="C59" t="s">
        <v>13</v>
      </c>
      <c r="D59" t="s">
        <v>16</v>
      </c>
      <c r="E59" t="s">
        <v>11</v>
      </c>
      <c r="F59">
        <v>500</v>
      </c>
      <c r="G59">
        <v>2.5</v>
      </c>
      <c r="H59" t="str">
        <f>IF(OR(dataraw[[#This Row],[R]]&gt;=2,dataraw[[#This Row],[Profit]]&gt;500),"GOOD","REVIEW")</f>
        <v>GOOD</v>
      </c>
      <c r="I59">
        <f>IFERROR(dataraw[[#This Row],[Profit]]/dataraw[[#This Row],[R]],"0")</f>
        <v>200</v>
      </c>
      <c r="J59" t="s">
        <v>12</v>
      </c>
      <c r="K59" s="1">
        <v>46081</v>
      </c>
    </row>
    <row r="60" spans="1:11" x14ac:dyDescent="0.3">
      <c r="A60">
        <v>87</v>
      </c>
      <c r="B60">
        <v>10001</v>
      </c>
      <c r="C60" t="s">
        <v>13</v>
      </c>
      <c r="D60" t="s">
        <v>16</v>
      </c>
      <c r="E60" t="s">
        <v>11</v>
      </c>
      <c r="F60">
        <v>375</v>
      </c>
      <c r="G60">
        <v>1.5</v>
      </c>
      <c r="H60" t="str">
        <f>IF(OR(dataraw[[#This Row],[R]]&gt;=2,dataraw[[#This Row],[Profit]]&gt;500),"GOOD","REVIEW")</f>
        <v>REVIEW</v>
      </c>
      <c r="I60">
        <f>IFERROR(dataraw[[#This Row],[Profit]]/dataraw[[#This Row],[R]],"0")</f>
        <v>250</v>
      </c>
      <c r="J60" t="s">
        <v>12</v>
      </c>
      <c r="K60" s="1">
        <v>46203</v>
      </c>
    </row>
    <row r="61" spans="1:11" x14ac:dyDescent="0.3">
      <c r="A61">
        <v>65</v>
      </c>
      <c r="B61">
        <v>10004</v>
      </c>
      <c r="C61" t="s">
        <v>13</v>
      </c>
      <c r="D61" t="s">
        <v>10</v>
      </c>
      <c r="E61" t="s">
        <v>11</v>
      </c>
      <c r="F61">
        <v>300</v>
      </c>
      <c r="G61">
        <v>1.5</v>
      </c>
      <c r="H61" t="str">
        <f>IF(OR(dataraw[[#This Row],[R]]&gt;=2,dataraw[[#This Row],[Profit]]&gt;500),"GOOD","REVIEW")</f>
        <v>REVIEW</v>
      </c>
      <c r="I61">
        <f>IFERROR(dataraw[[#This Row],[Profit]]/dataraw[[#This Row],[R]],"0")</f>
        <v>200</v>
      </c>
      <c r="J61" t="s">
        <v>12</v>
      </c>
      <c r="K61" s="1">
        <v>46167</v>
      </c>
    </row>
    <row r="62" spans="1:11" x14ac:dyDescent="0.3">
      <c r="A62">
        <v>26</v>
      </c>
      <c r="B62">
        <v>10004</v>
      </c>
      <c r="C62" t="s">
        <v>13</v>
      </c>
      <c r="D62" t="s">
        <v>10</v>
      </c>
      <c r="E62" t="s">
        <v>11</v>
      </c>
      <c r="F62">
        <v>250</v>
      </c>
      <c r="G62">
        <v>1</v>
      </c>
      <c r="H62" t="str">
        <f>IF(OR(dataraw[[#This Row],[R]]&gt;=2,dataraw[[#This Row],[Profit]]&gt;500),"GOOD","REVIEW")</f>
        <v>REVIEW</v>
      </c>
      <c r="I62">
        <f>IFERROR(dataraw[[#This Row],[Profit]]/dataraw[[#This Row],[R]],"0")</f>
        <v>250</v>
      </c>
      <c r="J62" t="s">
        <v>12</v>
      </c>
      <c r="K62" s="1">
        <v>46173</v>
      </c>
    </row>
    <row r="63" spans="1:11" x14ac:dyDescent="0.3">
      <c r="A63">
        <v>55</v>
      </c>
      <c r="B63">
        <v>10005</v>
      </c>
      <c r="C63" t="s">
        <v>13</v>
      </c>
      <c r="D63" t="s">
        <v>10</v>
      </c>
      <c r="E63" t="s">
        <v>11</v>
      </c>
      <c r="F63">
        <v>200</v>
      </c>
      <c r="G63">
        <v>1</v>
      </c>
      <c r="H63" t="str">
        <f>IF(OR(dataraw[[#This Row],[R]]&gt;=2,dataraw[[#This Row],[Profit]]&gt;500),"GOOD","REVIEW")</f>
        <v>REVIEW</v>
      </c>
      <c r="I63">
        <f>IFERROR(dataraw[[#This Row],[Profit]]/dataraw[[#This Row],[R]],"0")</f>
        <v>200</v>
      </c>
      <c r="J63" t="s">
        <v>12</v>
      </c>
      <c r="K63" s="1">
        <v>46120</v>
      </c>
    </row>
    <row r="64" spans="1:11" x14ac:dyDescent="0.3">
      <c r="A64">
        <v>59</v>
      </c>
      <c r="B64">
        <v>10006</v>
      </c>
      <c r="C64" t="s">
        <v>13</v>
      </c>
      <c r="D64" t="s">
        <v>10</v>
      </c>
      <c r="E64" t="s">
        <v>11</v>
      </c>
      <c r="F64">
        <v>200</v>
      </c>
      <c r="G64">
        <v>1</v>
      </c>
      <c r="H64" t="str">
        <f>IF(OR(dataraw[[#This Row],[R]]&gt;=2,dataraw[[#This Row],[Profit]]&gt;500),"GOOD","REVIEW")</f>
        <v>REVIEW</v>
      </c>
      <c r="I64">
        <f>IFERROR(dataraw[[#This Row],[Profit]]/dataraw[[#This Row],[R]],"0")</f>
        <v>200</v>
      </c>
      <c r="J64" t="s">
        <v>12</v>
      </c>
      <c r="K64" s="1">
        <v>46140</v>
      </c>
    </row>
    <row r="65" spans="1:11" x14ac:dyDescent="0.3">
      <c r="A65">
        <v>66</v>
      </c>
      <c r="B65">
        <v>10004</v>
      </c>
      <c r="C65" t="s">
        <v>13</v>
      </c>
      <c r="D65" t="s">
        <v>10</v>
      </c>
      <c r="E65" t="s">
        <v>11</v>
      </c>
      <c r="F65">
        <v>200</v>
      </c>
      <c r="G65">
        <v>2</v>
      </c>
      <c r="H65" t="str">
        <f>IF(OR(dataraw[[#This Row],[R]]&gt;=2,dataraw[[#This Row],[Profit]]&gt;500),"GOOD","REVIEW")</f>
        <v>GOOD</v>
      </c>
      <c r="I65">
        <f>IFERROR(dataraw[[#This Row],[Profit]]/dataraw[[#This Row],[R]],"0")</f>
        <v>100</v>
      </c>
      <c r="J65" t="s">
        <v>12</v>
      </c>
      <c r="K65" s="1">
        <v>46160</v>
      </c>
    </row>
    <row r="66" spans="1:11" x14ac:dyDescent="0.3">
      <c r="A66">
        <v>2</v>
      </c>
      <c r="B66">
        <v>10001</v>
      </c>
      <c r="C66" t="s">
        <v>13</v>
      </c>
      <c r="D66" t="s">
        <v>10</v>
      </c>
      <c r="E66" t="s">
        <v>14</v>
      </c>
      <c r="F66">
        <v>150</v>
      </c>
      <c r="G66">
        <v>3</v>
      </c>
      <c r="H66" t="str">
        <f>IF(OR(dataraw[[#This Row],[R]]&gt;=2,dataraw[[#This Row],[Profit]]&gt;500),"GOOD","REVIEW")</f>
        <v>GOOD</v>
      </c>
      <c r="I66">
        <f>IFERROR(dataraw[[#This Row],[Profit]]/dataraw[[#This Row],[R]],"0")</f>
        <v>50</v>
      </c>
      <c r="J66" t="s">
        <v>12</v>
      </c>
      <c r="K66" s="1">
        <v>46178</v>
      </c>
    </row>
    <row r="67" spans="1:11" x14ac:dyDescent="0.3">
      <c r="A67">
        <v>94</v>
      </c>
      <c r="B67">
        <v>10004</v>
      </c>
      <c r="C67" t="s">
        <v>13</v>
      </c>
      <c r="D67" t="s">
        <v>10</v>
      </c>
      <c r="E67" t="s">
        <v>14</v>
      </c>
      <c r="F67">
        <v>150</v>
      </c>
      <c r="G67">
        <v>3</v>
      </c>
      <c r="H67" t="str">
        <f>IF(OR(dataraw[[#This Row],[R]]&gt;=2,dataraw[[#This Row],[Profit]]&gt;500),"GOOD","REVIEW")</f>
        <v>GOOD</v>
      </c>
      <c r="I67">
        <f>IFERROR(dataraw[[#This Row],[Profit]]/dataraw[[#This Row],[R]],"0")</f>
        <v>50</v>
      </c>
      <c r="J67" t="s">
        <v>12</v>
      </c>
      <c r="K67" s="1">
        <v>46091</v>
      </c>
    </row>
    <row r="68" spans="1:11" x14ac:dyDescent="0.3">
      <c r="A68">
        <v>57</v>
      </c>
      <c r="B68">
        <v>10005</v>
      </c>
      <c r="C68" t="s">
        <v>13</v>
      </c>
      <c r="D68" t="s">
        <v>16</v>
      </c>
      <c r="E68" t="s">
        <v>14</v>
      </c>
      <c r="F68">
        <v>125</v>
      </c>
      <c r="G68">
        <v>2.5</v>
      </c>
      <c r="H68" t="str">
        <f>IF(OR(dataraw[[#This Row],[R]]&gt;=2,dataraw[[#This Row],[Profit]]&gt;500),"GOOD","REVIEW")</f>
        <v>GOOD</v>
      </c>
      <c r="I68">
        <f>IFERROR(dataraw[[#This Row],[Profit]]/dataraw[[#This Row],[R]],"0")</f>
        <v>50</v>
      </c>
      <c r="J68" t="s">
        <v>12</v>
      </c>
      <c r="K68" s="1">
        <v>46076</v>
      </c>
    </row>
    <row r="69" spans="1:11" x14ac:dyDescent="0.3">
      <c r="A69">
        <v>4</v>
      </c>
      <c r="B69">
        <v>10002</v>
      </c>
      <c r="C69" t="s">
        <v>13</v>
      </c>
      <c r="D69" t="s">
        <v>16</v>
      </c>
      <c r="E69" t="s">
        <v>11</v>
      </c>
      <c r="F69">
        <v>100</v>
      </c>
      <c r="G69">
        <v>2</v>
      </c>
      <c r="H69" t="str">
        <f>IF(OR(dataraw[[#This Row],[R]]&gt;=2,dataraw[[#This Row],[Profit]]&gt;500),"GOOD","REVIEW")</f>
        <v>GOOD</v>
      </c>
      <c r="I69">
        <f>IFERROR(dataraw[[#This Row],[Profit]]/dataraw[[#This Row],[R]],"0")</f>
        <v>50</v>
      </c>
      <c r="J69" t="s">
        <v>12</v>
      </c>
      <c r="K69" s="1">
        <v>46205</v>
      </c>
    </row>
    <row r="70" spans="1:11" x14ac:dyDescent="0.3">
      <c r="A70">
        <v>27</v>
      </c>
      <c r="B70">
        <v>10006</v>
      </c>
      <c r="C70" t="s">
        <v>13</v>
      </c>
      <c r="D70" t="s">
        <v>16</v>
      </c>
      <c r="E70" t="s">
        <v>11</v>
      </c>
      <c r="F70">
        <v>50</v>
      </c>
      <c r="G70">
        <v>1</v>
      </c>
      <c r="H70" t="str">
        <f>IF(OR(dataraw[[#This Row],[R]]&gt;=2,dataraw[[#This Row],[Profit]]&gt;500),"GOOD","REVIEW")</f>
        <v>REVIEW</v>
      </c>
      <c r="I70">
        <f>IFERROR(dataraw[[#This Row],[Profit]]/dataraw[[#This Row],[R]],"0")</f>
        <v>50</v>
      </c>
      <c r="J70" t="s">
        <v>12</v>
      </c>
      <c r="K70" s="1">
        <v>46117</v>
      </c>
    </row>
    <row r="71" spans="1:11" x14ac:dyDescent="0.3">
      <c r="A71">
        <v>72</v>
      </c>
      <c r="B71">
        <v>10004</v>
      </c>
      <c r="C71" t="s">
        <v>13</v>
      </c>
      <c r="D71" t="s">
        <v>10</v>
      </c>
      <c r="E71" t="s">
        <v>14</v>
      </c>
      <c r="F71">
        <v>50</v>
      </c>
      <c r="G71">
        <v>1</v>
      </c>
      <c r="H71" t="str">
        <f>IF(OR(dataraw[[#This Row],[R]]&gt;=2,dataraw[[#This Row],[Profit]]&gt;500),"GOOD","REVIEW")</f>
        <v>REVIEW</v>
      </c>
      <c r="I71">
        <f>IFERROR(dataraw[[#This Row],[Profit]]/dataraw[[#This Row],[R]],"0")</f>
        <v>50</v>
      </c>
      <c r="J71" t="s">
        <v>12</v>
      </c>
      <c r="K71" s="1">
        <v>46069</v>
      </c>
    </row>
    <row r="72" spans="1:11" x14ac:dyDescent="0.3">
      <c r="A72">
        <v>75</v>
      </c>
      <c r="B72">
        <v>10003</v>
      </c>
      <c r="C72" t="s">
        <v>13</v>
      </c>
      <c r="D72" t="s">
        <v>10</v>
      </c>
      <c r="E72" t="s">
        <v>14</v>
      </c>
      <c r="F72">
        <v>50</v>
      </c>
      <c r="G72">
        <v>1</v>
      </c>
      <c r="H72" t="str">
        <f>IF(OR(dataraw[[#This Row],[R]]&gt;=2,dataraw[[#This Row],[Profit]]&gt;500),"GOOD","REVIEW")</f>
        <v>REVIEW</v>
      </c>
      <c r="I72">
        <f>IFERROR(dataraw[[#This Row],[Profit]]/dataraw[[#This Row],[R]],"0")</f>
        <v>50</v>
      </c>
      <c r="J72" t="s">
        <v>12</v>
      </c>
      <c r="K72" s="1">
        <v>46047</v>
      </c>
    </row>
    <row r="73" spans="1:11" x14ac:dyDescent="0.3">
      <c r="A73">
        <v>17</v>
      </c>
      <c r="B73">
        <v>10005</v>
      </c>
      <c r="C73" t="s">
        <v>13</v>
      </c>
      <c r="D73" t="s">
        <v>10</v>
      </c>
      <c r="E73" t="s">
        <v>11</v>
      </c>
      <c r="F73">
        <v>-75</v>
      </c>
      <c r="G73">
        <v>-1.5</v>
      </c>
      <c r="H73" t="str">
        <f>IF(OR(dataraw[[#This Row],[R]]&gt;=2,dataraw[[#This Row],[Profit]]&gt;500),"GOOD","REVIEW")</f>
        <v>REVIEW</v>
      </c>
      <c r="I73">
        <f>IFERROR(dataraw[[#This Row],[Profit]]/dataraw[[#This Row],[R]],"0")</f>
        <v>50</v>
      </c>
      <c r="J73" t="s">
        <v>17</v>
      </c>
      <c r="K73" s="1">
        <v>46067</v>
      </c>
    </row>
    <row r="74" spans="1:11" x14ac:dyDescent="0.3">
      <c r="A74">
        <v>53</v>
      </c>
      <c r="B74">
        <v>10004</v>
      </c>
      <c r="C74" t="s">
        <v>13</v>
      </c>
      <c r="D74" t="s">
        <v>16</v>
      </c>
      <c r="E74" t="s">
        <v>11</v>
      </c>
      <c r="F74">
        <v>-75</v>
      </c>
      <c r="G74">
        <v>-1.5</v>
      </c>
      <c r="H74" t="str">
        <f>IF(OR(dataraw[[#This Row],[R]]&gt;=2,dataraw[[#This Row],[Profit]]&gt;500),"GOOD","REVIEW")</f>
        <v>REVIEW</v>
      </c>
      <c r="I74">
        <f>IFERROR(dataraw[[#This Row],[Profit]]/dataraw[[#This Row],[R]],"0")</f>
        <v>50</v>
      </c>
      <c r="J74" t="s">
        <v>17</v>
      </c>
      <c r="K74" s="1">
        <v>46054</v>
      </c>
    </row>
    <row r="75" spans="1:11" x14ac:dyDescent="0.3">
      <c r="A75">
        <v>21</v>
      </c>
      <c r="B75">
        <v>10005</v>
      </c>
      <c r="C75" t="s">
        <v>13</v>
      </c>
      <c r="D75" t="s">
        <v>10</v>
      </c>
      <c r="E75" t="s">
        <v>11</v>
      </c>
      <c r="F75">
        <v>-100</v>
      </c>
      <c r="G75">
        <v>-1</v>
      </c>
      <c r="H75" t="str">
        <f>IF(OR(dataraw[[#This Row],[R]]&gt;=2,dataraw[[#This Row],[Profit]]&gt;500),"GOOD","REVIEW")</f>
        <v>REVIEW</v>
      </c>
      <c r="I75">
        <f>IFERROR(dataraw[[#This Row],[Profit]]/dataraw[[#This Row],[R]],"0")</f>
        <v>100</v>
      </c>
      <c r="J75" t="s">
        <v>17</v>
      </c>
      <c r="K75" s="1">
        <v>46059</v>
      </c>
    </row>
    <row r="76" spans="1:11" x14ac:dyDescent="0.3">
      <c r="A76">
        <v>48</v>
      </c>
      <c r="B76">
        <v>10006</v>
      </c>
      <c r="C76" t="s">
        <v>13</v>
      </c>
      <c r="D76" t="s">
        <v>10</v>
      </c>
      <c r="E76" t="s">
        <v>14</v>
      </c>
      <c r="F76">
        <v>-100</v>
      </c>
      <c r="G76">
        <v>-1</v>
      </c>
      <c r="H76" t="str">
        <f>IF(OR(dataraw[[#This Row],[R]]&gt;=2,dataraw[[#This Row],[Profit]]&gt;500),"GOOD","REVIEW")</f>
        <v>REVIEW</v>
      </c>
      <c r="I76">
        <f>IFERROR(dataraw[[#This Row],[Profit]]/dataraw[[#This Row],[R]],"0")</f>
        <v>100</v>
      </c>
      <c r="J76" t="s">
        <v>17</v>
      </c>
      <c r="K76" s="1">
        <v>46072</v>
      </c>
    </row>
    <row r="77" spans="1:11" x14ac:dyDescent="0.3">
      <c r="A77">
        <v>83</v>
      </c>
      <c r="B77">
        <v>10002</v>
      </c>
      <c r="C77" t="s">
        <v>13</v>
      </c>
      <c r="D77" t="s">
        <v>16</v>
      </c>
      <c r="E77" t="s">
        <v>11</v>
      </c>
      <c r="F77">
        <v>-100</v>
      </c>
      <c r="G77">
        <v>-0.5</v>
      </c>
      <c r="H77" t="str">
        <f>IF(OR(dataraw[[#This Row],[R]]&gt;=2,dataraw[[#This Row],[Profit]]&gt;500),"GOOD","REVIEW")</f>
        <v>REVIEW</v>
      </c>
      <c r="I77">
        <f>IFERROR(dataraw[[#This Row],[Profit]]/dataraw[[#This Row],[R]],"0")</f>
        <v>200</v>
      </c>
      <c r="J77" t="s">
        <v>17</v>
      </c>
      <c r="K77" s="1">
        <v>46146</v>
      </c>
    </row>
    <row r="78" spans="1:11" x14ac:dyDescent="0.3">
      <c r="A78">
        <v>5</v>
      </c>
      <c r="B78">
        <v>10003</v>
      </c>
      <c r="C78" t="s">
        <v>13</v>
      </c>
      <c r="D78" t="s">
        <v>10</v>
      </c>
      <c r="E78" t="s">
        <v>11</v>
      </c>
      <c r="F78">
        <v>-125</v>
      </c>
      <c r="G78">
        <v>-0.5</v>
      </c>
      <c r="H78" t="str">
        <f>IF(OR(dataraw[[#This Row],[R]]&gt;=2,dataraw[[#This Row],[Profit]]&gt;500),"GOOD","REVIEW")</f>
        <v>REVIEW</v>
      </c>
      <c r="I78">
        <f>IFERROR(dataraw[[#This Row],[Profit]]/dataraw[[#This Row],[R]],"0")</f>
        <v>250</v>
      </c>
      <c r="J78" t="s">
        <v>17</v>
      </c>
      <c r="K78" s="1">
        <v>46050</v>
      </c>
    </row>
    <row r="79" spans="1:11" x14ac:dyDescent="0.3">
      <c r="A79">
        <v>31</v>
      </c>
      <c r="B79">
        <v>10004</v>
      </c>
      <c r="C79" t="s">
        <v>13</v>
      </c>
      <c r="D79" t="s">
        <v>16</v>
      </c>
      <c r="E79" t="s">
        <v>14</v>
      </c>
      <c r="F79">
        <v>-125</v>
      </c>
      <c r="G79">
        <v>-0.5</v>
      </c>
      <c r="H79" t="str">
        <f>IF(OR(dataraw[[#This Row],[R]]&gt;=2,dataraw[[#This Row],[Profit]]&gt;500),"GOOD","REVIEW")</f>
        <v>REVIEW</v>
      </c>
      <c r="I79">
        <f>IFERROR(dataraw[[#This Row],[Profit]]/dataraw[[#This Row],[R]],"0")</f>
        <v>250</v>
      </c>
      <c r="J79" t="s">
        <v>17</v>
      </c>
      <c r="K79" s="1">
        <v>46131</v>
      </c>
    </row>
    <row r="80" spans="1:11" x14ac:dyDescent="0.3">
      <c r="A80">
        <v>96</v>
      </c>
      <c r="B80">
        <v>10003</v>
      </c>
      <c r="C80" t="s">
        <v>13</v>
      </c>
      <c r="D80" t="s">
        <v>16</v>
      </c>
      <c r="E80" t="s">
        <v>11</v>
      </c>
      <c r="F80">
        <v>-200</v>
      </c>
      <c r="G80">
        <v>-1</v>
      </c>
      <c r="H80" t="str">
        <f>IF(OR(dataraw[[#This Row],[R]]&gt;=2,dataraw[[#This Row],[Profit]]&gt;500),"GOOD","REVIEW")</f>
        <v>REVIEW</v>
      </c>
      <c r="I80">
        <f>IFERROR(dataraw[[#This Row],[Profit]]/dataraw[[#This Row],[R]],"0")</f>
        <v>200</v>
      </c>
      <c r="J80" t="s">
        <v>17</v>
      </c>
      <c r="K80" s="1">
        <v>46160</v>
      </c>
    </row>
    <row r="81" spans="1:11" x14ac:dyDescent="0.3">
      <c r="A81">
        <v>64</v>
      </c>
      <c r="B81">
        <v>10005</v>
      </c>
      <c r="C81" t="s">
        <v>13</v>
      </c>
      <c r="D81" t="s">
        <v>16</v>
      </c>
      <c r="E81" t="s">
        <v>11</v>
      </c>
      <c r="F81">
        <v>-375</v>
      </c>
      <c r="G81">
        <v>-1.5</v>
      </c>
      <c r="H81" t="str">
        <f>IF(OR(dataraw[[#This Row],[R]]&gt;=2,dataraw[[#This Row],[Profit]]&gt;500),"GOOD","REVIEW")</f>
        <v>REVIEW</v>
      </c>
      <c r="I81">
        <f>IFERROR(dataraw[[#This Row],[Profit]]/dataraw[[#This Row],[R]],"0")</f>
        <v>250</v>
      </c>
      <c r="J81" t="s">
        <v>17</v>
      </c>
      <c r="K81" s="1">
        <v>46061</v>
      </c>
    </row>
    <row r="82" spans="1:11" x14ac:dyDescent="0.3">
      <c r="A82">
        <v>81</v>
      </c>
      <c r="B82">
        <v>10004</v>
      </c>
      <c r="C82" t="s">
        <v>13</v>
      </c>
      <c r="D82" t="s">
        <v>16</v>
      </c>
      <c r="E82" t="s">
        <v>14</v>
      </c>
      <c r="F82">
        <v>-375</v>
      </c>
      <c r="G82">
        <v>-1.5</v>
      </c>
      <c r="H82" t="str">
        <f>IF(OR(dataraw[[#This Row],[R]]&gt;=2,dataraw[[#This Row],[Profit]]&gt;500),"GOOD","REVIEW")</f>
        <v>REVIEW</v>
      </c>
      <c r="I82">
        <f>IFERROR(dataraw[[#This Row],[Profit]]/dataraw[[#This Row],[R]],"0")</f>
        <v>250</v>
      </c>
      <c r="J82" t="s">
        <v>17</v>
      </c>
      <c r="K82" s="1">
        <v>46030</v>
      </c>
    </row>
    <row r="83" spans="1:11" x14ac:dyDescent="0.3">
      <c r="A83">
        <v>82</v>
      </c>
      <c r="B83">
        <v>10005</v>
      </c>
      <c r="C83" t="s">
        <v>13</v>
      </c>
      <c r="D83" t="s">
        <v>10</v>
      </c>
      <c r="E83" t="s">
        <v>11</v>
      </c>
      <c r="F83">
        <v>-375</v>
      </c>
      <c r="G83">
        <v>-1.5</v>
      </c>
      <c r="H83" t="str">
        <f>IF(OR(dataraw[[#This Row],[R]]&gt;=2,dataraw[[#This Row],[Profit]]&gt;500),"GOOD","REVIEW")</f>
        <v>REVIEW</v>
      </c>
      <c r="I83">
        <f>IFERROR(dataraw[[#This Row],[Profit]]/dataraw[[#This Row],[R]],"0")</f>
        <v>250</v>
      </c>
      <c r="J83" t="s">
        <v>17</v>
      </c>
      <c r="K83" s="1">
        <v>46066</v>
      </c>
    </row>
    <row r="84" spans="1:11" x14ac:dyDescent="0.3">
      <c r="A84">
        <v>90</v>
      </c>
      <c r="B84">
        <v>10002</v>
      </c>
      <c r="C84" t="s">
        <v>18</v>
      </c>
      <c r="D84" t="s">
        <v>10</v>
      </c>
      <c r="E84" t="s">
        <v>14</v>
      </c>
      <c r="F84">
        <v>500</v>
      </c>
      <c r="G84">
        <v>2.5</v>
      </c>
      <c r="H84" t="str">
        <f>IF(OR(dataraw[[#This Row],[R]]&gt;=2,dataraw[[#This Row],[Profit]]&gt;500),"GOOD","REVIEW")</f>
        <v>GOOD</v>
      </c>
      <c r="I84">
        <f>IFERROR(dataraw[[#This Row],[Profit]]/dataraw[[#This Row],[R]],"0")</f>
        <v>200</v>
      </c>
      <c r="J84" t="s">
        <v>12</v>
      </c>
      <c r="K84" s="1">
        <v>46076</v>
      </c>
    </row>
    <row r="85" spans="1:11" x14ac:dyDescent="0.3">
      <c r="A85">
        <v>50</v>
      </c>
      <c r="B85">
        <v>10002</v>
      </c>
      <c r="C85" t="s">
        <v>18</v>
      </c>
      <c r="D85" t="s">
        <v>16</v>
      </c>
      <c r="E85" t="s">
        <v>14</v>
      </c>
      <c r="F85">
        <v>375</v>
      </c>
      <c r="G85">
        <v>1.5</v>
      </c>
      <c r="H85" t="str">
        <f>IF(OR(dataraw[[#This Row],[R]]&gt;=2,dataraw[[#This Row],[Profit]]&gt;500),"GOOD","REVIEW")</f>
        <v>REVIEW</v>
      </c>
      <c r="I85">
        <f>IFERROR(dataraw[[#This Row],[Profit]]/dataraw[[#This Row],[R]],"0")</f>
        <v>250</v>
      </c>
      <c r="J85" t="s">
        <v>12</v>
      </c>
      <c r="K85" s="1">
        <v>46144</v>
      </c>
    </row>
    <row r="86" spans="1:11" x14ac:dyDescent="0.3">
      <c r="A86">
        <v>91</v>
      </c>
      <c r="B86">
        <v>10003</v>
      </c>
      <c r="C86" t="s">
        <v>18</v>
      </c>
      <c r="D86" t="s">
        <v>10</v>
      </c>
      <c r="E86" t="s">
        <v>14</v>
      </c>
      <c r="F86">
        <v>300</v>
      </c>
      <c r="G86">
        <v>1.5</v>
      </c>
      <c r="H86" t="str">
        <f>IF(OR(dataraw[[#This Row],[R]]&gt;=2,dataraw[[#This Row],[Profit]]&gt;500),"GOOD","REVIEW")</f>
        <v>REVIEW</v>
      </c>
      <c r="I86">
        <f>IFERROR(dataraw[[#This Row],[Profit]]/dataraw[[#This Row],[R]],"0")</f>
        <v>200</v>
      </c>
      <c r="J86" t="s">
        <v>12</v>
      </c>
      <c r="K86" s="1">
        <v>46177</v>
      </c>
    </row>
    <row r="87" spans="1:11" x14ac:dyDescent="0.3">
      <c r="A87">
        <v>28</v>
      </c>
      <c r="B87">
        <v>10002</v>
      </c>
      <c r="C87" t="s">
        <v>18</v>
      </c>
      <c r="D87" t="s">
        <v>10</v>
      </c>
      <c r="E87" t="s">
        <v>14</v>
      </c>
      <c r="F87">
        <v>250</v>
      </c>
      <c r="G87">
        <v>2.5</v>
      </c>
      <c r="H87" t="str">
        <f>IF(OR(dataraw[[#This Row],[R]]&gt;=2,dataraw[[#This Row],[Profit]]&gt;500),"GOOD","REVIEW")</f>
        <v>GOOD</v>
      </c>
      <c r="I87">
        <f>IFERROR(dataraw[[#This Row],[Profit]]/dataraw[[#This Row],[R]],"0")</f>
        <v>100</v>
      </c>
      <c r="J87" t="s">
        <v>12</v>
      </c>
      <c r="K87" s="1">
        <v>46130</v>
      </c>
    </row>
    <row r="88" spans="1:11" x14ac:dyDescent="0.3">
      <c r="A88">
        <v>67</v>
      </c>
      <c r="B88">
        <v>10002</v>
      </c>
      <c r="C88" t="s">
        <v>18</v>
      </c>
      <c r="D88" t="s">
        <v>16</v>
      </c>
      <c r="E88" t="s">
        <v>14</v>
      </c>
      <c r="F88">
        <v>250</v>
      </c>
      <c r="G88">
        <v>2.5</v>
      </c>
      <c r="H88" t="str">
        <f>IF(OR(dataraw[[#This Row],[R]]&gt;=2,dataraw[[#This Row],[Profit]]&gt;500),"GOOD","REVIEW")</f>
        <v>GOOD</v>
      </c>
      <c r="I88">
        <f>IFERROR(dataraw[[#This Row],[Profit]]/dataraw[[#This Row],[R]],"0")</f>
        <v>100</v>
      </c>
      <c r="J88" t="s">
        <v>12</v>
      </c>
      <c r="K88" s="1">
        <v>46096</v>
      </c>
    </row>
    <row r="89" spans="1:11" x14ac:dyDescent="0.3">
      <c r="A89">
        <v>60</v>
      </c>
      <c r="B89">
        <v>10006</v>
      </c>
      <c r="C89" t="s">
        <v>18</v>
      </c>
      <c r="D89" t="s">
        <v>10</v>
      </c>
      <c r="E89" t="s">
        <v>14</v>
      </c>
      <c r="F89">
        <v>150</v>
      </c>
      <c r="G89">
        <v>1.5</v>
      </c>
      <c r="H89" t="str">
        <f>IF(OR(dataraw[[#This Row],[R]]&gt;=2,dataraw[[#This Row],[Profit]]&gt;500),"GOOD","REVIEW")</f>
        <v>REVIEW</v>
      </c>
      <c r="I89">
        <f>IFERROR(dataraw[[#This Row],[Profit]]/dataraw[[#This Row],[R]],"0")</f>
        <v>100</v>
      </c>
      <c r="J89" t="s">
        <v>12</v>
      </c>
      <c r="K89" s="1">
        <v>46158</v>
      </c>
    </row>
    <row r="90" spans="1:11" x14ac:dyDescent="0.3">
      <c r="A90">
        <v>41</v>
      </c>
      <c r="B90">
        <v>10003</v>
      </c>
      <c r="C90" t="s">
        <v>18</v>
      </c>
      <c r="D90" t="s">
        <v>10</v>
      </c>
      <c r="E90" t="s">
        <v>14</v>
      </c>
      <c r="F90">
        <v>100</v>
      </c>
      <c r="G90">
        <v>1</v>
      </c>
      <c r="H90" t="str">
        <f>IF(OR(dataraw[[#This Row],[R]]&gt;=2,dataraw[[#This Row],[Profit]]&gt;500),"GOOD","REVIEW")</f>
        <v>REVIEW</v>
      </c>
      <c r="I90">
        <f>IFERROR(dataraw[[#This Row],[Profit]]/dataraw[[#This Row],[R]],"0")</f>
        <v>100</v>
      </c>
      <c r="J90" t="s">
        <v>12</v>
      </c>
      <c r="K90" s="1">
        <v>46197</v>
      </c>
    </row>
    <row r="91" spans="1:11" x14ac:dyDescent="0.3">
      <c r="A91">
        <v>89</v>
      </c>
      <c r="B91">
        <v>10003</v>
      </c>
      <c r="C91" t="s">
        <v>18</v>
      </c>
      <c r="D91" t="s">
        <v>16</v>
      </c>
      <c r="E91" t="s">
        <v>11</v>
      </c>
      <c r="F91">
        <v>75</v>
      </c>
      <c r="G91">
        <v>1.5</v>
      </c>
      <c r="H91" t="str">
        <f>IF(OR(dataraw[[#This Row],[R]]&gt;=2,dataraw[[#This Row],[Profit]]&gt;500),"GOOD","REVIEW")</f>
        <v>REVIEW</v>
      </c>
      <c r="I91">
        <f>IFERROR(dataraw[[#This Row],[Profit]]/dataraw[[#This Row],[R]],"0")</f>
        <v>50</v>
      </c>
      <c r="J91" t="s">
        <v>12</v>
      </c>
      <c r="K91" s="1">
        <v>46167</v>
      </c>
    </row>
    <row r="92" spans="1:11" x14ac:dyDescent="0.3">
      <c r="A92">
        <v>25</v>
      </c>
      <c r="B92">
        <v>10003</v>
      </c>
      <c r="C92" t="s">
        <v>18</v>
      </c>
      <c r="D92" t="s">
        <v>10</v>
      </c>
      <c r="E92" t="s">
        <v>14</v>
      </c>
      <c r="F92">
        <v>-50</v>
      </c>
      <c r="G92">
        <v>-0.5</v>
      </c>
      <c r="H92" t="str">
        <f>IF(OR(dataraw[[#This Row],[R]]&gt;=2,dataraw[[#This Row],[Profit]]&gt;500),"GOOD","REVIEW")</f>
        <v>REVIEW</v>
      </c>
      <c r="I92">
        <f>IFERROR(dataraw[[#This Row],[Profit]]/dataraw[[#This Row],[R]],"0")</f>
        <v>100</v>
      </c>
      <c r="J92" t="s">
        <v>17</v>
      </c>
      <c r="K92" s="1">
        <v>46035</v>
      </c>
    </row>
    <row r="93" spans="1:11" x14ac:dyDescent="0.3">
      <c r="A93">
        <v>9</v>
      </c>
      <c r="B93">
        <v>10006</v>
      </c>
      <c r="C93" t="s">
        <v>18</v>
      </c>
      <c r="D93" t="s">
        <v>10</v>
      </c>
      <c r="E93" t="s">
        <v>11</v>
      </c>
      <c r="F93">
        <v>-75</v>
      </c>
      <c r="G93">
        <v>-1.5</v>
      </c>
      <c r="H93" t="str">
        <f>IF(OR(dataraw[[#This Row],[R]]&gt;=2,dataraw[[#This Row],[Profit]]&gt;500),"GOOD","REVIEW")</f>
        <v>REVIEW</v>
      </c>
      <c r="I93">
        <f>IFERROR(dataraw[[#This Row],[Profit]]/dataraw[[#This Row],[R]],"0")</f>
        <v>50</v>
      </c>
      <c r="J93" t="s">
        <v>17</v>
      </c>
      <c r="K93" s="1">
        <v>46121</v>
      </c>
    </row>
    <row r="94" spans="1:11" x14ac:dyDescent="0.3">
      <c r="A94">
        <v>18</v>
      </c>
      <c r="B94">
        <v>10003</v>
      </c>
      <c r="C94" t="s">
        <v>18</v>
      </c>
      <c r="D94" t="s">
        <v>10</v>
      </c>
      <c r="E94" t="s">
        <v>14</v>
      </c>
      <c r="F94">
        <v>-75</v>
      </c>
      <c r="G94">
        <v>-1.5</v>
      </c>
      <c r="H94" t="str">
        <f>IF(OR(dataraw[[#This Row],[R]]&gt;=2,dataraw[[#This Row],[Profit]]&gt;500),"GOOD","REVIEW")</f>
        <v>REVIEW</v>
      </c>
      <c r="I94">
        <f>IFERROR(dataraw[[#This Row],[Profit]]/dataraw[[#This Row],[R]],"0")</f>
        <v>50</v>
      </c>
      <c r="J94" t="s">
        <v>17</v>
      </c>
      <c r="K94" s="1">
        <v>46187</v>
      </c>
    </row>
    <row r="95" spans="1:11" x14ac:dyDescent="0.3">
      <c r="A95">
        <v>44</v>
      </c>
      <c r="B95">
        <v>10005</v>
      </c>
      <c r="C95" t="s">
        <v>18</v>
      </c>
      <c r="D95" t="s">
        <v>10</v>
      </c>
      <c r="E95" t="s">
        <v>11</v>
      </c>
      <c r="F95">
        <v>-75</v>
      </c>
      <c r="G95">
        <v>-1.5</v>
      </c>
      <c r="H95" t="str">
        <f>IF(OR(dataraw[[#This Row],[R]]&gt;=2,dataraw[[#This Row],[Profit]]&gt;500),"GOOD","REVIEW")</f>
        <v>REVIEW</v>
      </c>
      <c r="I95">
        <f>IFERROR(dataraw[[#This Row],[Profit]]/dataraw[[#This Row],[R]],"0")</f>
        <v>50</v>
      </c>
      <c r="J95" t="s">
        <v>17</v>
      </c>
      <c r="K95" s="1">
        <v>46190</v>
      </c>
    </row>
    <row r="96" spans="1:11" x14ac:dyDescent="0.3">
      <c r="A96">
        <v>19</v>
      </c>
      <c r="B96">
        <v>10001</v>
      </c>
      <c r="C96" t="s">
        <v>18</v>
      </c>
      <c r="D96" t="s">
        <v>16</v>
      </c>
      <c r="E96" t="s">
        <v>14</v>
      </c>
      <c r="F96">
        <v>-100</v>
      </c>
      <c r="G96">
        <v>-1</v>
      </c>
      <c r="H96" t="str">
        <f>IF(OR(dataraw[[#This Row],[R]]&gt;=2,dataraw[[#This Row],[Profit]]&gt;500),"GOOD","REVIEW")</f>
        <v>REVIEW</v>
      </c>
      <c r="I96">
        <f>IFERROR(dataraw[[#This Row],[Profit]]/dataraw[[#This Row],[R]],"0")</f>
        <v>100</v>
      </c>
      <c r="J96" t="s">
        <v>17</v>
      </c>
      <c r="K96" s="1">
        <v>46180</v>
      </c>
    </row>
    <row r="97" spans="1:11" x14ac:dyDescent="0.3">
      <c r="A97">
        <v>56</v>
      </c>
      <c r="B97">
        <v>10004</v>
      </c>
      <c r="C97" t="s">
        <v>18</v>
      </c>
      <c r="D97" t="s">
        <v>16</v>
      </c>
      <c r="E97" t="s">
        <v>11</v>
      </c>
      <c r="F97">
        <v>-150</v>
      </c>
      <c r="G97">
        <v>-1.5</v>
      </c>
      <c r="H97" t="str">
        <f>IF(OR(dataraw[[#This Row],[R]]&gt;=2,dataraw[[#This Row],[Profit]]&gt;500),"GOOD","REVIEW")</f>
        <v>REVIEW</v>
      </c>
      <c r="I97">
        <f>IFERROR(dataraw[[#This Row],[Profit]]/dataraw[[#This Row],[R]],"0")</f>
        <v>100</v>
      </c>
      <c r="J97" t="s">
        <v>17</v>
      </c>
      <c r="K97" s="1">
        <v>46156</v>
      </c>
    </row>
    <row r="98" spans="1:11" x14ac:dyDescent="0.3">
      <c r="A98">
        <v>11</v>
      </c>
      <c r="B98">
        <v>10001</v>
      </c>
      <c r="C98" t="s">
        <v>18</v>
      </c>
      <c r="D98" t="s">
        <v>10</v>
      </c>
      <c r="E98" t="s">
        <v>14</v>
      </c>
      <c r="F98">
        <v>-200</v>
      </c>
      <c r="G98">
        <v>-1</v>
      </c>
      <c r="H98" t="str">
        <f>IF(OR(dataraw[[#This Row],[R]]&gt;=2,dataraw[[#This Row],[Profit]]&gt;500),"GOOD","REVIEW")</f>
        <v>REVIEW</v>
      </c>
      <c r="I98">
        <f>IFERROR(dataraw[[#This Row],[Profit]]/dataraw[[#This Row],[R]],"0")</f>
        <v>200</v>
      </c>
      <c r="J98" t="s">
        <v>17</v>
      </c>
      <c r="K98" s="1">
        <v>46202</v>
      </c>
    </row>
    <row r="99" spans="1:11" x14ac:dyDescent="0.3">
      <c r="A99">
        <v>51</v>
      </c>
      <c r="B99">
        <v>10003</v>
      </c>
      <c r="C99" t="s">
        <v>18</v>
      </c>
      <c r="D99" t="s">
        <v>10</v>
      </c>
      <c r="E99" t="s">
        <v>11</v>
      </c>
      <c r="F99">
        <v>-200</v>
      </c>
      <c r="G99">
        <v>-1</v>
      </c>
      <c r="H99" t="str">
        <f>IF(OR(dataraw[[#This Row],[R]]&gt;=2,dataraw[[#This Row],[Profit]]&gt;500),"GOOD","REVIEW")</f>
        <v>REVIEW</v>
      </c>
      <c r="I99">
        <f>IFERROR(dataraw[[#This Row],[Profit]]/dataraw[[#This Row],[R]],"0")</f>
        <v>200</v>
      </c>
      <c r="J99" t="s">
        <v>17</v>
      </c>
      <c r="K99" s="1">
        <v>46111</v>
      </c>
    </row>
    <row r="100" spans="1:11" x14ac:dyDescent="0.3">
      <c r="A100">
        <v>42</v>
      </c>
      <c r="B100">
        <v>10002</v>
      </c>
      <c r="C100" t="s">
        <v>18</v>
      </c>
      <c r="D100" t="s">
        <v>10</v>
      </c>
      <c r="E100" t="s">
        <v>11</v>
      </c>
      <c r="F100">
        <v>-250</v>
      </c>
      <c r="G100">
        <v>-1</v>
      </c>
      <c r="H100" t="str">
        <f>IF(OR(dataraw[[#This Row],[R]]&gt;=2,dataraw[[#This Row],[Profit]]&gt;500),"GOOD","REVIEW")</f>
        <v>REVIEW</v>
      </c>
      <c r="I100">
        <f>IFERROR(dataraw[[#This Row],[Profit]]/dataraw[[#This Row],[R]],"0")</f>
        <v>250</v>
      </c>
      <c r="J100" t="s">
        <v>17</v>
      </c>
      <c r="K100" s="1">
        <v>46096</v>
      </c>
    </row>
    <row r="101" spans="1:11" x14ac:dyDescent="0.3">
      <c r="A101">
        <v>58</v>
      </c>
      <c r="B101">
        <v>10005</v>
      </c>
      <c r="C101" t="s">
        <v>18</v>
      </c>
      <c r="D101" t="s">
        <v>10</v>
      </c>
      <c r="E101" t="s">
        <v>11</v>
      </c>
      <c r="F101">
        <v>-250</v>
      </c>
      <c r="G101">
        <v>-1</v>
      </c>
      <c r="H101" t="str">
        <f>IF(OR(dataraw[[#This Row],[R]]&gt;=2,dataraw[[#This Row],[Profit]]&gt;500),"GOOD","REVIEW")</f>
        <v>REVIEW</v>
      </c>
      <c r="I101">
        <f>IFERROR(dataraw[[#This Row],[Profit]]/dataraw[[#This Row],[R]],"0")</f>
        <v>250</v>
      </c>
      <c r="J101" t="s">
        <v>17</v>
      </c>
      <c r="K101" s="1">
        <v>46104</v>
      </c>
    </row>
  </sheetData>
  <conditionalFormatting sqref="A1">
    <cfRule type="duplicateValues" dxfId="1" priority="2"/>
  </conditionalFormatting>
  <conditionalFormatting sqref="A1:A1048576">
    <cfRule type="duplicateValues" dxfId="0" priority="1"/>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F4B606-5EFA-4DF7-9A47-71ED672C87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charts</vt:lpstr>
      <vt:lpstr>PIVOT</vt:lpstr>
      <vt:lpstr>table data</vt:lpstr>
      <vt:lpstr>trading_raw_data2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2026-09-09T18:19:16Z</dcterms:created>
  <dcterms:modified xsi:type="dcterms:W3CDTF">2026-09-30T19:44:01Z</dcterms:modified>
</cp:coreProperties>
</file>