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51467224-11F7-4C82-817B-052A3D548D9B}" xr6:coauthVersionLast="47" xr6:coauthVersionMax="47" xr10:uidLastSave="{00000000-0000-0000-0000-000000000000}"/>
  <bookViews>
    <workbookView xWindow="-108" yWindow="-108" windowWidth="23256" windowHeight="12456" xr2:uid="{29389193-7256-4448-99EA-708D1049F25F}"/>
  </bookViews>
  <sheets>
    <sheet name="DASHBOARD" sheetId="15" r:id="rId1"/>
    <sheet name="PIVOT" sheetId="14" r:id="rId2"/>
    <sheet name="table data" sheetId="12" r:id="rId3"/>
    <sheet name="trading_raw_data2" sheetId="1" r:id="rId4"/>
  </sheets>
  <definedNames>
    <definedName name="ExternalData_1" localSheetId="2" hidden="1">'table data'!$A$1:$K$101</definedName>
    <definedName name="Slicer_Pair">#N/A</definedName>
  </definedNames>
  <calcPr calcId="191029"/>
  <pivotCaches>
    <pivotCache cacheId="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<sst xmlns="http://schemas.openxmlformats.org/spreadsheetml/2006/main" count="937" uniqueCount="32">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</sst>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6" fontId="0" fillId="35"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0">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6" formatCode="&quot;$&quot;#,##0.00"/>
    </dxf>
    <dxf>
      <numFmt numFmtId="0" formatCode="General"/>
    </dxf>
    <dxf>
      <numFmt numFmtId="169" formatCode="_(&quot;$&quot;* #,##0_);_(&quot;$&quot;* \(#,##0\);_(&quot;$&quot;* &quot;-&quot;??_);_(@_)"/>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4.9989318521683403E-2"/>
            </patternFill>
          </fill>
        </dxf>
        <dxf>
          <fill>
            <patternFill>
              <bgColor theme="0" tint="-0.14996795556505021"/>
            </patternFill>
          </fill>
        </dxf>
        <dxf>
          <fill>
            <patternFill>
              <bgColor theme="0"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0"/>
            <x14:slicerStyleElement type="selectedItemWithData" dxfId="2"/>
            <x14:slicerStyleElement type="selectedItemWithNo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PIVOT!$E$4:$E$5</c:f>
              <c:strCache>
                <c:ptCount val="1"/>
                <c:pt idx="0">
                  <c:v>US30</c:v>
                </c:pt>
              </c:strCache>
            </c:strRef>
          </c:cat>
          <c:val>
            <c:numRef>
              <c:f>PIVOT!$F$4:$F$5</c:f>
              <c:numCache>
                <c:formatCode>General</c:formatCode>
                <c:ptCount val="1"/>
                <c:pt idx="0">
                  <c:v>1925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15</c:v>
                </c:pt>
                <c:pt idx="1">
                  <c:v>12</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PIVOT!$I$3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PIVOT!$H$4:$H$6</c:f>
              <c:strCache>
                <c:ptCount val="2"/>
                <c:pt idx="0">
                  <c:v>London</c:v>
                </c:pt>
                <c:pt idx="1">
                  <c:v>New York</c:v>
                </c:pt>
              </c:strCache>
            </c:strRef>
          </c:cat>
          <c:val>
            <c:numRef>
              <c:f>PIVOT!$I$4:$I$6</c:f>
              <c:numCache>
                <c:formatCode>General</c:formatCode>
                <c:ptCount val="2"/>
                <c:pt idx="0">
                  <c:v>15</c:v>
                </c:pt>
                <c:pt idx="1">
                  <c:v>12</c:v>
                </c:pt>
              </c:numCache>
            </c:numRef>
          </c:val>
          <c:extLst>
            <c:ext xmlns:c16="http://schemas.microsoft.com/office/drawing/2014/chart" uri="{C3380CC4-5D6E-409C-BE32-E72D297353CC}">
              <c16:uniqueId val="{00000002-F8ED-4BAC-BF01-6EA6519CB44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160020</xdr:colOff>
      <xdr:row>25</xdr:row>
      <xdr:rowOff>114300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477500" cy="468630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16</xdr:col>
      <xdr:colOff>99060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869442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468630</xdr:colOff>
      <xdr:row>1</xdr:row>
      <xdr:rowOff>41910</xdr:rowOff>
    </xdr:from>
    <xdr:to>
      <xdr:col>13</xdr:col>
      <xdr:colOff>179070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290703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t>27</a:t>
          </a:fld>
          <a:endParaRPr lang="en-US" sz="3200" b="1">
            <a:solidFill>
              <a:schemeClr val="bg1">
                <a:lumMod val="65000"/>
              </a:schemeClr>
            </a:solidFill>
          </a:endParaRPr>
        </a:p>
      </xdr:txBody>
    </xdr:sp>
    <xdr:clientData/>
  </xdr:twoCellAnchor>
  <xdr:twoCellAnchor>
    <xdr:from>
      <xdr:col>6</xdr:col>
      <xdr:colOff>510540</xdr:colOff>
      <xdr:row>5</xdr:row>
      <xdr:rowOff>99060</xdr:rowOff>
    </xdr:from>
    <xdr:to>
      <xdr:col>11</xdr:col>
      <xdr:colOff>129540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1681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443865</xdr:colOff>
      <xdr:row>5</xdr:row>
      <xdr:rowOff>152400</xdr:rowOff>
    </xdr:from>
    <xdr:to>
      <xdr:col>10</xdr:col>
      <xdr:colOff>196215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47110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7</xdr:col>
      <xdr:colOff>267653</xdr:colOff>
      <xdr:row>7</xdr:row>
      <xdr:rowOff>45720</xdr:rowOff>
    </xdr:from>
    <xdr:to>
      <xdr:col>10</xdr:col>
      <xdr:colOff>372428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5348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153.7037037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11</xdr:col>
      <xdr:colOff>472440</xdr:colOff>
      <xdr:row>5</xdr:row>
      <xdr:rowOff>99060</xdr:rowOff>
    </xdr:from>
    <xdr:to>
      <xdr:col>16</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1780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405765</xdr:colOff>
      <xdr:row>5</xdr:row>
      <xdr:rowOff>152400</xdr:rowOff>
    </xdr:from>
    <xdr:to>
      <xdr:col>15</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77209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12</xdr:col>
      <xdr:colOff>229553</xdr:colOff>
      <xdr:row>7</xdr:row>
      <xdr:rowOff>45720</xdr:rowOff>
    </xdr:from>
    <xdr:to>
      <xdr:col>15</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75447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$1,925.00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5</xdr:row>
      <xdr:rowOff>68581</xdr:rowOff>
    </xdr:from>
    <xdr:to>
      <xdr:col>1</xdr:col>
      <xdr:colOff>495300</xdr:colOff>
      <xdr:row>13</xdr:row>
      <xdr:rowOff>129541</xdr:rowOff>
    </xdr:to>
    <mc:AlternateContent xmlns:mc="http://schemas.openxmlformats.org/markup-compatibility/2006">
      <mc:Choice xmlns:a14="http://schemas.microsoft.com/office/drawing/2010/main"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dr:sp macro="" textlink="">
          <xdr:nvSpPr>
            <xdr:cNvPr id="0" name=""/>
            <xdr:cNvSpPr>
              <a:spLocks noTextEdit="1"/>
            </xdr:cNvSpPr>
          </xdr:nvSpPr>
          <xdr:spPr>
            <a:xfrm>
              <a:off x="0" y="98298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541020</xdr:colOff>
      <xdr:row>11</xdr:row>
      <xdr:rowOff>121920</xdr:rowOff>
    </xdr:from>
    <xdr:to>
      <xdr:col>7</xdr:col>
      <xdr:colOff>571500</xdr:colOff>
      <xdr:row>23</xdr:row>
      <xdr:rowOff>106680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22860</xdr:colOff>
      <xdr:row>11</xdr:row>
      <xdr:rowOff>129540</xdr:rowOff>
    </xdr:from>
    <xdr:to>
      <xdr:col>14</xdr:col>
      <xdr:colOff>167640</xdr:colOff>
      <xdr:row>23</xdr:row>
      <xdr:rowOff>99060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590550</xdr:colOff>
      <xdr:row>5</xdr:row>
      <xdr:rowOff>106680</xdr:rowOff>
    </xdr:from>
    <xdr:to>
      <xdr:col>9</xdr:col>
      <xdr:colOff>41910</xdr:colOff>
      <xdr:row>20</xdr:row>
      <xdr:rowOff>106680</xdr:rowOff>
    </xdr:to>
    <xdr:graphicFrame macro="">
      <xdr:nvGraphicFramePr>
        <xdr:cNvPr id="4" name="Chart 3">
          <a:extLst>
            <a:ext uri="{FF2B5EF4-FFF2-40B4-BE49-F238E27FC236}">
              <a16:creationId xmlns:a16="http://schemas.microsoft.com/office/drawing/2014/main" id="{A3C23B14-57C4-392D-76F3-6FCC15ABBF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5"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h="1" x="0"/>
        <item h="1" x="1"/>
        <item x="2"/>
        <item h="1"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7">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3" count="1" selected="0">
            <x v="0"/>
          </reference>
        </references>
      </pivotArea>
    </chartFormat>
    <chartFormat chart="6" format="4">
      <pivotArea type="data" outline="0" fieldPosition="0">
        <references count="2">
          <reference field="4294967294" count="1" selected="0">
            <x v="0"/>
          </reference>
          <reference field="3" count="1" selected="0">
            <x v="1"/>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5" firstHeaderRow="1" firstDataRow="1" firstDataCol="1"/>
  <pivotFields count="11">
    <pivotField showAll="0"/>
    <pivotField showAll="0"/>
    <pivotField axis="axisRow" showAll="0">
      <items count="5">
        <item h="1" x="0"/>
        <item h="1" x="1"/>
        <item x="2"/>
        <item h="1" x="3"/>
        <item t="default"/>
      </items>
    </pivotField>
    <pivotField showAll="0"/>
    <pivotField showAll="0"/>
    <pivotField dataField="1" showAll="0"/>
    <pivotField showAll="0"/>
    <pivotField showAll="0"/>
    <pivotField showAll="0"/>
    <pivotField showAll="0"/>
    <pivotField numFmtId="14" showAll="0"/>
  </pivotFields>
  <rowFields count="1">
    <field x="2"/>
  </rowFields>
  <rowItems count="2">
    <i>
      <x v="2"/>
    </i>
    <i t="grand">
      <x/>
    </i>
  </rowItems>
  <colItems count="1">
    <i/>
  </colItems>
  <dataFields count="1">
    <dataField name="Sum of Profit" fld="5"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h="1" x="0"/>
        <item h="1" x="1"/>
        <item x="2"/>
        <item h="1" x="3"/>
        <item t="default"/>
      </items>
    </pivotField>
    <pivotField showAll="0"/>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38">
      <pivotArea collapsedLevelsAreSubtotals="1" fieldPosition="0">
        <references count="1">
          <reference field="4294967294" count="2">
            <x v="1"/>
            <x v="2"/>
          </reference>
        </references>
      </pivotArea>
    </format>
    <format dxfId="37">
      <pivotArea collapsedLevelsAreSubtotals="1" fieldPosition="0">
        <references count="1">
          <reference field="4294967294" count="1">
            <x v="1"/>
          </reference>
        </references>
      </pivotArea>
    </format>
    <format dxfId="36">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s>
  <data>
    <tabular pivotCacheId="812573279">
      <items count="4">
        <i x="0"/>
        <i x="1"/>
        <i x="2" s="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49"/>
    <tableColumn id="4" xr3:uid="{B0049864-1E12-47C0-8D45-1BD553A79BAB}" uniqueName="4" name="Session" queryTableFieldId="4" dataDxfId="48"/>
    <tableColumn id="5" xr3:uid="{B5B64422-7954-4A9C-B33D-8A5E60CB500D}" uniqueName="5" name="Direction" queryTableFieldId="5" dataDxfId="47"/>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46"/>
    <tableColumn id="9" xr3:uid="{5FB9330C-B7E2-4D0F-8CE9-5BCD5AD9DF22}" uniqueName="9" name="Profit per R" queryTableFieldId="9"/>
    <tableColumn id="10" xr3:uid="{7B07BC40-ABE4-4622-B96B-23717E82E09B}" uniqueName="10" name="Result" queryTableFieldId="10" dataDxfId="45"/>
    <tableColumn id="11" xr3:uid="{3DD01B60-6855-4A1D-9460-87483A9790C6}" uniqueName="11" name="TradeDate" queryTableFieldId="11" dataDxfId="4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3">
      <calculatedColumnFormula>IF(OR(dataraw[[#This Row],[R]]&gt;=2,dataraw[[#This Row],[Profit]]&gt;500),"GOOD","REVIEW")</calculatedColumnFormula>
    </tableColumn>
    <tableColumn id="14" xr3:uid="{4778648E-2E5E-4C3F-BBFA-07AD84B520D7}" name="Profit per R" dataDxfId="42">
      <calculatedColumnFormula>IFERROR(dataraw[[#This Row],[Profit]]/dataraw[[#This Row],[R]],"0")</calculatedColumnFormula>
    </tableColumn>
    <tableColumn id="8" xr3:uid="{CC96218F-2F0A-46BB-98E4-8AE8218DB3D7}" name="Result"/>
    <tableColumn id="9" xr3:uid="{33DFF7EB-37F8-4413-89B2-47AF0ABF1AB0}" name="TradeDate" dataDxfId="4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abSelected="1" workbookViewId="0">
      <selection activeCell="R19" sqref="R1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I11"/>
  <sheetViews>
    <sheetView workbookViewId="0">
      <selection activeCell="K14" sqref="K14"/>
    </sheetView>
  </sheetViews>
  <sheetFormatPr defaultRowHeight="14.4" x14ac:dyDescent="0.3"/>
  <cols>
    <col min="1" max="1" width="18.6640625" bestFit="1" customWidth="1"/>
    <col min="2" max="2" width="12" bestFit="1" customWidth="1"/>
    <col min="5" max="5" width="12.44140625" bestFit="1" customWidth="1"/>
    <col min="6" max="6" width="11.5546875" bestFit="1" customWidth="1"/>
    <col min="8" max="8" width="10.5546875" bestFit="1" customWidth="1"/>
    <col min="9" max="9" width="14.6640625" bestFit="1" customWidth="1"/>
  </cols>
  <sheetData>
    <row r="3" spans="1:9" x14ac:dyDescent="0.3">
      <c r="A3" s="4" t="s">
        <v>28</v>
      </c>
      <c r="E3" s="4" t="s">
        <v>25</v>
      </c>
      <c r="F3" t="s">
        <v>24</v>
      </c>
      <c r="I3" t="s">
        <v>26</v>
      </c>
    </row>
    <row r="4" spans="1:9" x14ac:dyDescent="0.3">
      <c r="A4" s="5" t="s">
        <v>26</v>
      </c>
      <c r="B4" s="6">
        <v>27</v>
      </c>
      <c r="E4" s="5" t="s">
        <v>13</v>
      </c>
      <c r="F4" s="6">
        <v>1925</v>
      </c>
      <c r="H4" s="5" t="s">
        <v>10</v>
      </c>
      <c r="I4" s="6">
        <v>15</v>
      </c>
    </row>
    <row r="5" spans="1:9" x14ac:dyDescent="0.3">
      <c r="A5" s="5" t="s">
        <v>27</v>
      </c>
      <c r="B5" s="6">
        <v>153.7037037037037</v>
      </c>
      <c r="E5" s="5" t="s">
        <v>21</v>
      </c>
      <c r="F5" s="6">
        <v>1925</v>
      </c>
      <c r="H5" s="5" t="s">
        <v>16</v>
      </c>
      <c r="I5" s="6">
        <v>12</v>
      </c>
    </row>
    <row r="6" spans="1:9" x14ac:dyDescent="0.3">
      <c r="A6" s="5" t="s">
        <v>24</v>
      </c>
      <c r="B6" s="7">
        <v>1925</v>
      </c>
      <c r="H6" s="5" t="s">
        <v>21</v>
      </c>
      <c r="I6" s="6">
        <v>27</v>
      </c>
    </row>
    <row r="9" spans="1:9" x14ac:dyDescent="0.3">
      <c r="A9" s="8" t="s">
        <v>29</v>
      </c>
      <c r="B9" s="2">
        <f>GETPIVOTDATA("Count of TradeID",$A$3)</f>
        <v>27</v>
      </c>
    </row>
    <row r="10" spans="1:9" x14ac:dyDescent="0.3">
      <c r="A10" s="9" t="s">
        <v>30</v>
      </c>
      <c r="B10" s="9">
        <f>GETPIVOTDATA("Average of Profit per R",$A$3)</f>
        <v>153.7037037037037</v>
      </c>
    </row>
    <row r="11" spans="1:9" x14ac:dyDescent="0.3">
      <c r="A11" s="10" t="s">
        <v>31</v>
      </c>
      <c r="B11" s="11">
        <f>GETPIVOTDATA("Sum of Profit",$A$3)</f>
        <v>1925</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40" priority="2"/>
  </conditionalFormatting>
  <conditionalFormatting sqref="A1:A1048576">
    <cfRule type="duplicateValues" dxfId="39"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2026-09-29T16:18:56Z</dcterms:modified>
</cp:coreProperties>
</file>