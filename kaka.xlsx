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timelines/timeline3.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82E629B5-E34B-4126-A0C3-56A6C5667929}" xr6:coauthVersionLast="47" xr6:coauthVersionMax="47" xr10:uidLastSave="{00000000-0000-0000-0000-000000000000}"/>
  <bookViews>
    <workbookView xWindow="-108" yWindow="-108" windowWidth="23256" windowHeight="12456" tabRatio="705" activeTab="6"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salesman" sheetId="10" r:id="rId7"/>
    <sheet name="products" sheetId="11" r:id="rId8"/>
    <sheet name="dashboard" sheetId="9" r:id="rId9"/>
    <sheet name="pivot table sales" sheetId="8" r:id="rId10"/>
    <sheet name="data raw sales" sheetId="7" r:id="rId11"/>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103" r:id="rId12"/>
    <pivotCache cacheId="181" r:id="rId13"/>
  </pivotCaches>
  <extLs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productname" name="productname" connection="WorksheetConnection_relationships.xlsx!productname"/>
          <x15:modelTable id="invoice" name="invoice" connection="WorksheetConnection_relationships.xlsx!invoice"/>
          <x15:modelTable id="client" name="client" connection="WorksheetConnection_relationships.xlsx!client"/>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43" i="7" l="1"/>
  <c r="A3" i="6"/>
  <c r="A4" i="6"/>
  <c r="A5" i="6"/>
  <c r="A6" i="6"/>
  <c r="A7" i="6"/>
  <c r="A8" i="6"/>
  <c r="I58" i="8"/>
  <c r="O58" i="8"/>
  <c r="E58" i="8"/>
  <c r="B58" i="8"/>
  <c r="L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<sst xmlns="http://schemas.openxmlformats.org/spreadsheetml/2006/main" count="256" uniqueCount="86">
  <si>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</si>
  <si>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</si>
  <si>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</si>
  <si>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</si>
  <si>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</si>
  <si>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</si>
  <si>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</si>
  <si>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</si>
  <si>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</si>
  <si>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</si>
  <si>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</si>
  <si>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</si>
  <si>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</si>
  <si>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</si>
  <si>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</si>
  <si>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</si>
  <si>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</si>
  <si>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</si>
  <si>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</si>
  <si>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</si>
  <si>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</si>
  <si>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</si>
  <si>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</si>
  <si>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</si>
  <si>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</si>
  <si>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</si>
  <si>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</si>
  <si>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</si>
  <si>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</si>
  <si>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</si>
  <si>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</si>
  <si>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</si>
  <si>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</si>
  <si>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</si>
  <si>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</si>
  <si>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</si>
  <si>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</si>
  <si>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</si>
  <si>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</si>
  <si>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</si>
  <si>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</si>
  <si>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</si>
  <si>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</si>
  <si>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</si>
  <si>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</si>
  <si>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</si>
  <si>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</si>
  <si>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</si>
  <si>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</si>
  <si>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</si>
  <si>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</si>
  <si>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</si>
  <si>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</si>
  <si>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</si>
  <si>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</si>
  <si>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</si>
  <si>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</si>
  <si>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</si>
  <si>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</si>
  <si>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</si>
  <si>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</si>
  <si>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</si>
  <si>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</si>
  <si>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</si>
  <si>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</si>
  <si>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</si>
  <si>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</si>
  <si>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</si>
  <si>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</si>
  <si>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</si>
  <si>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</si>
  <si>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</si>
  <si>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</si>
  <si>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</si>
  <si>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</si>
  <si>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</si>
  <si>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</si>
  <si>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</si>
  <si>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</si>
  <si>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Feb</t>
  </si>
  <si>
    <t>hamid taha</t>
  </si>
  <si>
    <t>milano</t>
  </si>
  <si>
    <t>gamer</t>
  </si>
  <si>
    <t>Average of Price</t>
  </si>
  <si>
    <t>haha jjaja</t>
  </si>
  <si>
    <t>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</si>
</sst>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1"/>
      <color theme="1"/>
      <name val="Aptos Narrow"/>
      <family val="2"/>
      <scheme val="minor"/>
    </font>
    <font>
      <sz val="20"/>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2" fillId="2" borderId="0" xfId="0" applyFont="1" applyFill="1" applyAlignment="1">
      <alignment horizontal="center" vertical="center"/>
    </xf>
    <xf numFmtId="0" fontId="0" fillId="2" borderId="0" xfId="0" applyFill="1" applyAlignment="1">
      <alignment horizontal="center" vertical="center"/>
    </xf>
  </cellXfs>
  <cellStyles count="1">
    <cellStyle name="Normal" xfId="0" builtinId="0"/>
  </cellStyles>
  <dxfs count="49">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s>
  <tableStyles count="7" defaultTableStyle="TableStyleMedium2" defaultPivotStyle="PivotStyleLight16">
    <tableStyle name="laila" pivot="0" table="0" count="1" xr9:uid="{DABE6C9C-85D5-4BAF-8B82-1729029B581B}">
      <tableStyleElement type="headerRow" dxfId="48"/>
    </tableStyle>
    <tableStyle name="lala" pivot="0" table="0" count="8" xr9:uid="{DD81CD64-2808-4CEA-9C01-4180B4801163}">
      <tableStyleElement type="wholeTable" dxfId="47"/>
      <tableStyleElement type="headerRow" dxfId="46"/>
    </tableStyle>
    <tableStyle name="lamina" pivot="0" table="0" count="1" xr9:uid="{D385192D-4717-4737-8E8C-886C505036D0}"/>
    <tableStyle name="lanini" pivot="0" table="0" count="2" xr9:uid="{40C6B56F-A003-4D3F-B525-E38E98C3907E}">
      <tableStyleElement type="wholeTable" dxfId="45"/>
    </tableStyle>
    <tableStyle name="Timeline Style 1" pivot="0" table="0" count="8" xr9:uid="{9B0A14E2-3CD1-4B19-8553-57CECB3028D8}">
      <tableStyleElement type="wholeTable" dxfId="44"/>
      <tableStyleElement type="headerRow" dxfId="43"/>
    </tableStyle>
    <tableStyle name="Timeline Style 2" pivot="0" table="0" count="8" xr9:uid="{49D621C8-D30B-4E29-85D1-6A8B15CAF539}">
      <tableStyleElement type="wholeTable" dxfId="42"/>
      <tableStyleElement type="headerRow" dxfId="41"/>
    </tableStyle>
    <tableStyle name="Timeline Style 3" pivot="0" table="0" count="8" xr9:uid="{258C9365-08EF-4D0A-89CD-E9F7EBD3F908}">
      <tableStyleElement type="wholeTable" dxfId="40"/>
      <tableStyleElement type="headerRow" dxfId="39"/>
    </tableStyle>
  </tableStyles>
  <extLst>
    <ext xmlns:x14="http://schemas.microsoft.com/office/spreadsheetml/2009/9/main" uri="{46F421CA-312F-682f-3DD2-61675219B42D}">
      <x14:dxfs count="2">
        <dxf>
          <fill>
            <patternFill>
              <bgColor theme="9" tint="0.59996337778862885"/>
            </patternFill>
          </fill>
        </dxf>
        <dxf>
          <fill>
            <patternFill>
              <bgColor theme="9" tint="0.59996337778862885"/>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1"/>
          </x14:slicerStyleElements>
        </x14:slicerStyle>
        <x14:slicerStyle name="lanini">
          <x14:slicerStyleElements>
            <x14:slicerStyleElement type="selectedItemWithData" dxfId="0"/>
          </x14:slicerStyleElements>
        </x14:slicerStyle>
      </x14:slicerStyles>
    </ext>
    <ext xmlns:x15="http://schemas.microsoft.com/office/spreadsheetml/2010/11/main" uri="{A0A4C193-F2C1-4fcb-8827-314CF55A85BB}">
      <x15:dxfs count="24">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lala">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5" Type="http://schemas.openxmlformats.org/officeDocument/2006/relationships/worksheet" Target="worksheets/sheet5.xml"/><Relationship Id="rId15" Type="http://schemas.microsoft.com/office/2011/relationships/timelineCache" Target="timelineCaches/timeline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worksheet" Target="worksheets/sheet10.xml"/><Relationship Id="rId19" Type="http://schemas.openxmlformats.org/officeDocument/2006/relationships/sharedStrings" Target="sharedStrings.xml"/><Relationship Id="rId31" Type="http://schemas.openxmlformats.org/officeDocument/2006/relationships/customXml" Target="../customXml/item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sales'!$E$4</c:f>
              <c:strCache>
                <c:ptCount val="1"/>
                <c:pt idx="0">
                  <c:v>Total</c:v>
                </c:pt>
              </c:strCache>
            </c:strRef>
          </c:tx>
          <c:spPr>
            <a:solidFill>
              <a:schemeClr val="accent6">
                <a:lumMod val="40000"/>
                <a:lumOff val="60000"/>
              </a:schemeClr>
            </a:solidFill>
            <a:ln>
              <a:noFill/>
            </a:ln>
            <a:effectLst/>
          </c:spPr>
          <c:invertIfNegative val="0"/>
          <c:cat>
            <c:strRef>
              <c:f>'pivot table sales'!$D$5:$D$7</c:f>
              <c:strCache>
                <c:ptCount val="2"/>
                <c:pt idx="0">
                  <c:v>hamid taha</c:v>
                </c:pt>
                <c:pt idx="1">
                  <c:v>haha jjaja</c:v>
                </c:pt>
              </c:strCache>
            </c:strRef>
          </c:cat>
          <c:val>
            <c:numRef>
              <c:f>'pivot table sales'!$E$5:$E$7</c:f>
              <c:numCache>
                <c:formatCode>General</c:formatCode>
                <c:ptCount val="2"/>
                <c:pt idx="0">
                  <c:v>168</c:v>
                </c:pt>
                <c:pt idx="1">
                  <c:v>7200</c:v>
                </c:pt>
              </c:numCache>
            </c:numRef>
          </c:val>
          <c:extLst>
            <c:ext xmlns:c16="http://schemas.microsoft.com/office/drawing/2014/chart" uri="{C3380CC4-5D6E-409C-BE32-E72D297353CC}">
              <c16:uniqueId val="{00000000-17E5-4CE2-A7C0-5C453963623A}"/>
            </c:ext>
          </c:extLst>
        </c:ser>
        <c:dLbls>
          <c:showLegendKey val="0"/>
          <c:showVal val="0"/>
          <c:showCatName val="0"/>
          <c:showSerName val="0"/>
          <c:showPercent val="0"/>
          <c:showBubbleSize val="0"/>
        </c:dLbls>
        <c:gapWidth val="219"/>
        <c:overlap val="-27"/>
        <c:axId val="1405357584"/>
        <c:axId val="1405356624"/>
      </c:barChart>
      <c:catAx>
        <c:axId val="140535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6624"/>
        <c:crosses val="autoZero"/>
        <c:auto val="1"/>
        <c:lblAlgn val="ctr"/>
        <c:lblOffset val="100"/>
        <c:noMultiLvlLbl val="0"/>
      </c:catAx>
      <c:valAx>
        <c:axId val="14053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7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s>
    <c:plotArea>
      <c:layout/>
      <c:barChart>
        <c:barDir val="bar"/>
        <c:grouping val="clustered"/>
        <c:varyColors val="0"/>
        <c:ser>
          <c:idx val="0"/>
          <c:order val="0"/>
          <c:tx>
            <c:strRef>
              <c:f>'pivot table sales'!$E$35</c:f>
              <c:strCache>
                <c:ptCount val="1"/>
                <c:pt idx="0">
                  <c:v>Total</c:v>
                </c:pt>
              </c:strCache>
            </c:strRef>
          </c:tx>
          <c:spPr>
            <a:solidFill>
              <a:schemeClr val="accent6">
                <a:lumMod val="60000"/>
                <a:lumOff val="40000"/>
              </a:schemeClr>
            </a:solidFill>
            <a:ln>
              <a:noFill/>
            </a:ln>
            <a:effectLst/>
          </c:spPr>
          <c:invertIfNegative val="0"/>
          <c:cat>
            <c:strRef>
              <c:f>'pivot table sales'!$D$36:$D$38</c:f>
              <c:strCache>
                <c:ptCount val="2"/>
                <c:pt idx="0">
                  <c:v>hamid taha</c:v>
                </c:pt>
                <c:pt idx="1">
                  <c:v>haha jjaja</c:v>
                </c:pt>
              </c:strCache>
            </c:strRef>
          </c:cat>
          <c:val>
            <c:numRef>
              <c:f>'pivot table sales'!$E$36:$E$38</c:f>
              <c:numCache>
                <c:formatCode>General</c:formatCode>
                <c:ptCount val="2"/>
                <c:pt idx="0">
                  <c:v>168</c:v>
                </c:pt>
                <c:pt idx="1">
                  <c:v>7200</c:v>
                </c:pt>
              </c:numCache>
            </c:numRef>
          </c:val>
          <c:extLst>
            <c:ext xmlns:c16="http://schemas.microsoft.com/office/drawing/2014/chart" uri="{C3380CC4-5D6E-409C-BE32-E72D297353CC}">
              <c16:uniqueId val="{00000000-90B8-4505-B617-205EC9DD842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sales!PivotTable2</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7368</c:v>
                </c:pt>
              </c:numCache>
            </c:numRef>
          </c:val>
          <c:extLst>
            <c:ext xmlns:c16="http://schemas.microsoft.com/office/drawing/2014/chart" uri="{C3380CC4-5D6E-409C-BE32-E72D297353CC}">
              <c16:uniqueId val="{00000000-0EF7-46BE-B18B-AA434DB64813}"/>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6">
                <a:lumMod val="40000"/>
                <a:lumOff val="60000"/>
              </a:schemeClr>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3DC2-49B8-9427-F3935644762B}"/>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sales'!$H$5:$H$7</c:f>
              <c:strCache>
                <c:ptCount val="2"/>
                <c:pt idx="0">
                  <c:v>Feb</c:v>
                </c:pt>
                <c:pt idx="1">
                  <c:v>Mar</c:v>
                </c:pt>
              </c:strCache>
            </c:strRef>
          </c:cat>
          <c:val>
            <c:numRef>
              <c:f>'pivot table sales'!$I$5:$I$7</c:f>
              <c:numCache>
                <c:formatCode>General</c:formatCode>
                <c:ptCount val="2"/>
                <c:pt idx="0">
                  <c:v>7200</c:v>
                </c:pt>
                <c:pt idx="1">
                  <c:v>168</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7368</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sales'!$E$35</c:f>
              <c:strCache>
                <c:ptCount val="1"/>
                <c:pt idx="0">
                  <c:v>Total</c:v>
                </c:pt>
              </c:strCache>
            </c:strRef>
          </c:tx>
          <c:spPr>
            <a:solidFill>
              <a:schemeClr val="accent1"/>
            </a:solidFill>
            <a:ln>
              <a:noFill/>
            </a:ln>
            <a:effectLst/>
          </c:spPr>
          <c:invertIfNegative val="0"/>
          <c:cat>
            <c:strRef>
              <c:f>'pivot table sales'!$D$36:$D$38</c:f>
              <c:strCache>
                <c:ptCount val="2"/>
                <c:pt idx="0">
                  <c:v>hamid taha</c:v>
                </c:pt>
                <c:pt idx="1">
                  <c:v>haha jjaja</c:v>
                </c:pt>
              </c:strCache>
            </c:strRef>
          </c:cat>
          <c:val>
            <c:numRef>
              <c:f>'pivot table sales'!$E$36:$E$38</c:f>
              <c:numCache>
                <c:formatCode>General</c:formatCode>
                <c:ptCount val="2"/>
                <c:pt idx="0">
                  <c:v>168</c:v>
                </c:pt>
                <c:pt idx="1">
                  <c:v>7200</c:v>
                </c:pt>
              </c:numCache>
            </c:numRef>
          </c:val>
          <c:extLst>
            <c:ext xmlns:c16="http://schemas.microsoft.com/office/drawing/2014/chart" uri="{C3380CC4-5D6E-409C-BE32-E72D297353CC}">
              <c16:uniqueId val="{00000000-2089-41C0-B456-FB41B253928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sales!PivotTable2</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1"/>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7368</c:v>
                </c:pt>
              </c:numCache>
            </c:numRef>
          </c:val>
          <c:extLst>
            <c:ext xmlns:c16="http://schemas.microsoft.com/office/drawing/2014/chart" uri="{C3380CC4-5D6E-409C-BE32-E72D297353CC}">
              <c16:uniqueId val="{00000000-1D22-4046-B77F-7F20EA2322D4}"/>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1"/>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B1B8-4EE7-A640-FF8D8F0713E9}"/>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18"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svg"/><Relationship Id="rId19" Type="http://schemas.openxmlformats.org/officeDocument/2006/relationships/image" Target="../media/image14.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dashboard!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5" Type="http://schemas.openxmlformats.org/officeDocument/2006/relationships/hyperlink" Target="#salesman!A1"/><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hyperlink" Target="#products!A1"/></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C73AD06E-5132-4F2B-946D-54F7B9A14CF8}"/>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2BF08B5-48DE-473F-AC60-DCDC03921FA6}"/>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511A0863-D6D1-419F-A05F-F9CA285C7D7F}"/>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2">
              <a:extLst>
                <a:ext uri="{FF2B5EF4-FFF2-40B4-BE49-F238E27FC236}">
                  <a16:creationId xmlns:a16="http://schemas.microsoft.com/office/drawing/2014/main" id="{F9BF2C19-A3CF-479E-83F9-7EE28F250457}"/>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2">
              <a:extLst>
                <a:ext uri="{FF2B5EF4-FFF2-40B4-BE49-F238E27FC236}">
                  <a16:creationId xmlns:a16="http://schemas.microsoft.com/office/drawing/2014/main" id="{10559071-B4E8-4DDA-9656-3278D5EFBB30}"/>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45BDABB0-C9C8-4F27-94DA-D457315A36BC}"/>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C46280C-8486-592D-1BBB-2B006E21695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BD1CB365-EC48-0089-82F7-07F2149152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EEB5F60D-7607-213B-5F19-C161E3010824}"/>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241CB3F4-DC79-EA5C-7EA4-2E7C16169700}"/>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7368</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9AAE40B5-04A0-48F3-B65E-137EFAF9FCEB}"/>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BD4AA156-212E-4AEB-86A6-336CE4EB8EB3}"/>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72684EF4-4DD5-453E-A7D1-1EADC3D2709F}"/>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3684</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A548C96D-EE61-4D23-8FFA-49934AFB3B9A}"/>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DF336B1C-F5F4-4B06-B9C4-5309F2FD127D}"/>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5D889F41-6662-4AB0-AED6-FD08ED6A99D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2</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56196854-20AB-42D0-908E-FE35C6F7B814}"/>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1418D845-EF13-417F-8611-57D3ED30B85E}"/>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40282A7B-2430-45D9-9B9D-20F63FFA0D0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7200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B9B8C7A7-929B-4124-88EA-3B5C848A8B32}"/>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B3D93FC3-F720-4F0E-BA7A-94792CF799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8D589C0E-F022-44C0-A395-6EE079726584}"/>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3D47834F-972E-467A-BA3A-262B23B843B4}"/>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168</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09CDAA06-E600-4F08-9359-FD70272045D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A784E0F4-0BE6-4B04-83AC-FBD491CC15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16414B3E-E54D-4FB5-B355-F9D7DD95D9B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F02EC5B4-6D6A-465F-A638-9F88F44C9A9D}"/>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CF8C4317-B5F2-4E56-BEDE-32FCAA1AE00C}"/>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935DD82A-DF54-401E-A2EA-BE87C2A41F69}"/>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495300</xdr:colOff>
      <xdr:row>18</xdr:row>
      <xdr:rowOff>102870</xdr:rowOff>
    </xdr:from>
    <xdr:to>
      <xdr:col>10</xdr:col>
      <xdr:colOff>387350</xdr:colOff>
      <xdr:row>34</xdr:row>
      <xdr:rowOff>38100</xdr:rowOff>
    </xdr:to>
    <xdr:graphicFrame macro="">
      <xdr:nvGraphicFramePr>
        <xdr:cNvPr id="33" name="Chart 32">
          <a:extLst>
            <a:ext uri="{FF2B5EF4-FFF2-40B4-BE49-F238E27FC236}">
              <a16:creationId xmlns:a16="http://schemas.microsoft.com/office/drawing/2014/main" id="{BFF5AF41-0783-4F75-BF87-AD277A110D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476250</xdr:colOff>
      <xdr:row>18</xdr:row>
      <xdr:rowOff>102870</xdr:rowOff>
    </xdr:from>
    <xdr:to>
      <xdr:col>18</xdr:col>
      <xdr:colOff>342900</xdr:colOff>
      <xdr:row>34</xdr:row>
      <xdr:rowOff>22860</xdr:rowOff>
    </xdr:to>
    <xdr:graphicFrame macro="">
      <xdr:nvGraphicFramePr>
        <xdr:cNvPr id="34" name="Chart 33">
          <a:extLst>
            <a:ext uri="{FF2B5EF4-FFF2-40B4-BE49-F238E27FC236}">
              <a16:creationId xmlns:a16="http://schemas.microsoft.com/office/drawing/2014/main" id="{32CB68A8-D72F-4AFD-BB60-64A3A5EBB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17</xdr:col>
      <xdr:colOff>320040</xdr:colOff>
      <xdr:row>0</xdr:row>
      <xdr:rowOff>144780</xdr:rowOff>
    </xdr:from>
    <xdr:to>
      <xdr:col>18</xdr:col>
      <xdr:colOff>220980</xdr:colOff>
      <xdr:row>3</xdr:row>
      <xdr:rowOff>106680</xdr:rowOff>
    </xdr:to>
    <xdr:pic macro="[0]!RefreshDashboard">
      <xdr:nvPicPr>
        <xdr:cNvPr id="29" name="Graphic 28" descr="Arrow circle with solid fill">
          <a:extLst>
            <a:ext uri="{FF2B5EF4-FFF2-40B4-BE49-F238E27FC236}">
              <a16:creationId xmlns:a16="http://schemas.microsoft.com/office/drawing/2014/main" id="{68A5AFA2-93F0-63C0-127D-3C3C37C79AA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83240" y="144780"/>
          <a:ext cx="510540" cy="510540"/>
        </a:xfrm>
        <a:prstGeom prst="rect">
          <a:avLst/>
        </a:prstGeom>
      </xdr:spPr>
    </xdr:pic>
    <xdr:clientData/>
  </xdr:twoCellAnchor>
  <xdr:twoCellAnchor editAs="oneCell">
    <xdr:from>
      <xdr:col>16</xdr:col>
      <xdr:colOff>487680</xdr:colOff>
      <xdr:row>1</xdr:row>
      <xdr:rowOff>30480</xdr:rowOff>
    </xdr:from>
    <xdr:to>
      <xdr:col>17</xdr:col>
      <xdr:colOff>251460</xdr:colOff>
      <xdr:row>3</xdr:row>
      <xdr:rowOff>38100</xdr:rowOff>
    </xdr:to>
    <xdr:pic macro="[0]!FullScreen">
      <xdr:nvPicPr>
        <xdr:cNvPr id="38" name="Graphic 37" descr="Monitor with solid fill">
          <a:extLst>
            <a:ext uri="{FF2B5EF4-FFF2-40B4-BE49-F238E27FC236}">
              <a16:creationId xmlns:a16="http://schemas.microsoft.com/office/drawing/2014/main" id="{330BB5FE-426C-3D49-45D8-8B5BC3D4BF7A}"/>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0241280" y="213360"/>
          <a:ext cx="373380" cy="37338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6C5B8B1-C827-4119-989D-D8666E8B9DD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B129DEE4-62DA-4197-BE38-5F59CDDA9D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F7167BE6-BB87-4596-ACD7-DC16D1D45193}"/>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3">
              <a:extLst>
                <a:ext uri="{FF2B5EF4-FFF2-40B4-BE49-F238E27FC236}">
                  <a16:creationId xmlns:a16="http://schemas.microsoft.com/office/drawing/2014/main" id="{4825F4D2-ED31-495C-86BF-0449C825ABAA}"/>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3">
              <a:extLst>
                <a:ext uri="{FF2B5EF4-FFF2-40B4-BE49-F238E27FC236}">
                  <a16:creationId xmlns:a16="http://schemas.microsoft.com/office/drawing/2014/main" id="{84CF30AE-108B-4208-921E-46C9007016DE}"/>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5D48B1A2-595B-44E1-B986-942537311E76}"/>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D3342D0-A69C-6700-76A6-27B18CB75822}"/>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39CA66A9-0CDE-6048-6180-0A1C77350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5BA72D07-535C-515A-BBD5-C28114F8C7A8}"/>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E11074E5-90D6-4AF4-F0A0-58168B5439DB}"/>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7368</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24D88E8C-3C3E-4A05-8DFA-ECDD1F0BFA41}"/>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2786F0B3-4791-4D9C-BDC6-3D272A5FC954}"/>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A580E1F7-9FC2-41D9-8833-A7F046AECAC2}"/>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3684</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B49B97A2-6CD8-44DA-B7C7-6CF477D82AF2}"/>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417C58DB-5C69-409A-90FC-A9F0D068DD3B}"/>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F98FA792-7CB7-4878-B5CD-9A3D831F2FF2}"/>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2</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E9718EED-2CB2-4122-BF77-D5E0542A5616}"/>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9A95E90F-B7C0-4830-BD05-F736F8536E1A}"/>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AEB6ECD8-687A-4899-94DD-8183EE171EDA}"/>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7200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1867FAFD-F685-41F1-93AF-07E92CB9C65C}"/>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46A10D10-A824-490B-BCA9-3D888381E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F244F522-A6DF-4E0B-A02F-9D113FB28023}"/>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2E930C79-650D-4E81-91C6-651C3146E09E}"/>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168</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FC9FBDBE-469E-442F-B111-2E0F93456DC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BC21397D-F525-426A-A3AB-50BA33EB29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4E9B980F-15F5-468A-914C-9F864B39E24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44412ADA-E3E4-46CB-948B-9B339E55007E}"/>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FAB0E04B-B33E-4720-9FD7-B6A7CC7C4605}"/>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EC8A849D-A3CA-41BD-ACF5-E3B126F53724}"/>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510540</xdr:colOff>
      <xdr:row>18</xdr:row>
      <xdr:rowOff>160020</xdr:rowOff>
    </xdr:from>
    <xdr:to>
      <xdr:col>10</xdr:col>
      <xdr:colOff>434340</xdr:colOff>
      <xdr:row>34</xdr:row>
      <xdr:rowOff>76200</xdr:rowOff>
    </xdr:to>
    <xdr:graphicFrame macro="">
      <xdr:nvGraphicFramePr>
        <xdr:cNvPr id="33" name="Chart 32">
          <a:extLst>
            <a:ext uri="{FF2B5EF4-FFF2-40B4-BE49-F238E27FC236}">
              <a16:creationId xmlns:a16="http://schemas.microsoft.com/office/drawing/2014/main" id="{DDA229AA-D044-476B-9877-5799DB577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548640</xdr:colOff>
      <xdr:row>18</xdr:row>
      <xdr:rowOff>152400</xdr:rowOff>
    </xdr:from>
    <xdr:to>
      <xdr:col>18</xdr:col>
      <xdr:colOff>373380</xdr:colOff>
      <xdr:row>34</xdr:row>
      <xdr:rowOff>83820</xdr:rowOff>
    </xdr:to>
    <xdr:graphicFrame macro="">
      <xdr:nvGraphicFramePr>
        <xdr:cNvPr id="34" name="Chart 33">
          <a:extLst>
            <a:ext uri="{FF2B5EF4-FFF2-40B4-BE49-F238E27FC236}">
              <a16:creationId xmlns:a16="http://schemas.microsoft.com/office/drawing/2014/main" id="{39A503D3-2E06-4470-96E9-BFE7BCA71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7368</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3684</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2</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7200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168</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220980</xdr:colOff>
      <xdr:row>8</xdr:row>
      <xdr:rowOff>53340</xdr:rowOff>
    </xdr:from>
    <xdr:to>
      <xdr:col>2</xdr:col>
      <xdr:colOff>15240</xdr:colOff>
      <xdr:row>10</xdr:row>
      <xdr:rowOff>15240</xdr:rowOff>
    </xdr:to>
    <xdr:sp macro="" textlink="">
      <xdr:nvSpPr>
        <xdr:cNvPr id="5" name="TextBox 4">
          <a:hlinkClick xmlns:r="http://schemas.openxmlformats.org/officeDocument/2006/relationships" r:id="rId13"/>
          <a:extLst>
            <a:ext uri="{FF2B5EF4-FFF2-40B4-BE49-F238E27FC236}">
              <a16:creationId xmlns:a16="http://schemas.microsoft.com/office/drawing/2014/main" id="{727ED372-B91B-108C-5E33-BD381A1CDFB2}"/>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17" name="TextBox 16">
          <a:hlinkClick xmlns:r="http://schemas.openxmlformats.org/officeDocument/2006/relationships" r:id="rId14"/>
          <a:extLst>
            <a:ext uri="{FF2B5EF4-FFF2-40B4-BE49-F238E27FC236}">
              <a16:creationId xmlns:a16="http://schemas.microsoft.com/office/drawing/2014/main" id="{98F94FDA-8603-04AD-9F14-EB2B6166B037}"/>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20" name="TextBox 19">
          <a:hlinkClick xmlns:r="http://schemas.openxmlformats.org/officeDocument/2006/relationships" r:id="rId15"/>
          <a:extLst>
            <a:ext uri="{FF2B5EF4-FFF2-40B4-BE49-F238E27FC236}">
              <a16:creationId xmlns:a16="http://schemas.microsoft.com/office/drawing/2014/main" id="{F6C9D567-F53A-72D5-E9AA-0FD41E41B73C}"/>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259080</xdr:colOff>
      <xdr:row>26</xdr:row>
      <xdr:rowOff>137160</xdr:rowOff>
    </xdr:from>
    <xdr:to>
      <xdr:col>19</xdr:col>
      <xdr:colOff>213360</xdr:colOff>
      <xdr:row>41</xdr:row>
      <xdr:rowOff>137160</xdr:rowOff>
    </xdr:to>
    <xdr:graphicFrame macro="">
      <xdr:nvGraphicFramePr>
        <xdr:cNvPr id="3" name="Chart 2">
          <a:extLst>
            <a:ext uri="{FF2B5EF4-FFF2-40B4-BE49-F238E27FC236}">
              <a16:creationId xmlns:a16="http://schemas.microsoft.com/office/drawing/2014/main" id="{F6F1F780-B5A5-93DA-8A5E-47A67AC96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45720</xdr:colOff>
      <xdr:row>6</xdr:row>
      <xdr:rowOff>167640</xdr:rowOff>
    </xdr:from>
    <xdr:to>
      <xdr:col>16</xdr:col>
      <xdr:colOff>411480</xdr:colOff>
      <xdr:row>21</xdr:row>
      <xdr:rowOff>167640</xdr:rowOff>
    </xdr:to>
    <xdr:graphicFrame macro="">
      <xdr:nvGraphicFramePr>
        <xdr:cNvPr id="4" name="Chart 3">
          <a:extLst>
            <a:ext uri="{FF2B5EF4-FFF2-40B4-BE49-F238E27FC236}">
              <a16:creationId xmlns:a16="http://schemas.microsoft.com/office/drawing/2014/main" id="{C3FE49B9-AC31-404B-3CB1-2A0DD38BE1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716280</xdr:colOff>
      <xdr:row>23</xdr:row>
      <xdr:rowOff>152400</xdr:rowOff>
    </xdr:from>
    <xdr:to>
      <xdr:col>9</xdr:col>
      <xdr:colOff>502920</xdr:colOff>
      <xdr:row>38</xdr:row>
      <xdr:rowOff>152400</xdr:rowOff>
    </xdr:to>
    <xdr:graphicFrame macro="">
      <xdr:nvGraphicFramePr>
        <xdr:cNvPr id="5" name="Chart 4">
          <a:extLst>
            <a:ext uri="{FF2B5EF4-FFF2-40B4-BE49-F238E27FC236}">
              <a16:creationId xmlns:a16="http://schemas.microsoft.com/office/drawing/2014/main" id="{4A01F45C-5B6A-0BFF-CECF-1621706C1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4.991331365738"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4.991370717595" createdVersion="8" refreshedVersion="8" minRefreshableVersion="3" recordCount="42" xr:uid="{D641DFE7-4C15-4723-BED5-80B09CEFB3D8}">
  <cacheSource type="worksheet">
    <worksheetSource name="dataraw"/>
  </cacheSource>
  <cacheFields count="10">
    <cacheField name="S No" numFmtId="0">
      <sharedItems containsSemiMixedTypes="0" containsString="0" containsNumber="1" containsInteger="1" minValue="1" maxValue="42"/>
    </cacheField>
    <cacheField name="Date" numFmtId="14">
      <sharedItems containsSemiMixedTypes="0" containsNonDate="0" containsDate="1" containsString="0" minDate="2023-01-01T00:00:00" maxDate="2023-03-20T00:00:00" count="42">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3-19T00:00:00"/>
      </sharedItems>
      <fieldGroup par="9"/>
    </cacheField>
    <cacheField name="Salesman" numFmtId="0">
      <sharedItems count="8">
        <s v="Ahmed Said"/>
        <s v="Ali Ramadan"/>
        <s v="Ashraf Zaki"/>
        <s v="Fathy Ali"/>
        <s v="Tamer Mohamed"/>
        <s v="Khaled Hassan"/>
        <s v="haha jjaja"/>
        <s v="hamid taha"/>
      </sharedItems>
    </cacheField>
    <cacheField name="Region" numFmtId="0">
      <sharedItems/>
    </cacheField>
    <cacheField name="Item" numFmtId="0">
      <sharedItems count="9">
        <s v="Mouse"/>
        <s v="Scanner"/>
        <s v="Printer"/>
        <s v="Laptop"/>
        <s v="Speaker"/>
        <s v="Monitor"/>
        <s v="Headset"/>
        <s v="Keyboard"/>
        <s v="gamer"/>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56" maxValue="8500"/>
    </cacheField>
    <cacheField name="Amount" numFmtId="0">
      <sharedItems containsSemiMixedTypes="0" containsString="0" containsNumber="1" containsInteger="1" minValue="168" maxValue="68000"/>
    </cacheField>
    <cacheField name="Days (Date)" numFmtId="0" databaseField="0">
      <fieldGroup base="1">
        <rangePr groupBy="days" startDate="2023-01-01T00:00:00" endDate="2023-03-2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20/2023"/>
        </groupItems>
      </fieldGroup>
    </cacheField>
    <cacheField name="Months (Date)" numFmtId="0" databaseField="0">
      <fieldGroup base="1">
        <rangePr groupBy="months" startDate="2023-01-01T00:00:00" endDate="2023-03-20T00:00:00"/>
        <groupItems count="14">
          <s v="&lt;1/1/2023"/>
          <s v="Jan"/>
          <s v="Feb"/>
          <s v="Mar"/>
          <s v="Apr"/>
          <s v="May"/>
          <s v="Jun"/>
          <s v="Jul"/>
          <s v="Aug"/>
          <s v="Sep"/>
          <s v="Oct"/>
          <s v="Nov"/>
          <s v="Dec"/>
          <s v="&gt;3/2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r>
    <n v="42"/>
    <x v="40"/>
    <x v="6"/>
    <s v="milano"/>
    <x v="8"/>
    <n v="6"/>
    <n v="56"/>
    <n v="7200"/>
  </r>
  <r>
    <n v="41"/>
    <x v="41"/>
    <x v="7"/>
    <s v="milano"/>
    <x v="8"/>
    <n v="3"/>
    <n v="56"/>
    <n v="1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103"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products by total amount">
  <location ref="A4:B14" firstHeaderRow="1" firstDataRow="1" firstDataCol="1"/>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Amount" fld="7"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35:E38" firstHeaderRow="1" firstDataRow="1" firstDataCol="1"/>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axis="axisRow" showAll="0" measureFilter="1" sortType="descending">
      <items count="9">
        <item x="4"/>
        <item x="5"/>
        <item x="7"/>
        <item x="6"/>
        <item x="3"/>
        <item x="2"/>
        <item x="1"/>
        <item x="0"/>
        <item t="default"/>
      </items>
    </pivotField>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3">
    <i>
      <x v="2"/>
    </i>
    <i>
      <x v="3"/>
    </i>
    <i t="grand">
      <x/>
    </i>
  </rowItems>
  <colItems count="1">
    <i/>
  </colItems>
  <dataFields count="1">
    <dataField name="Sum of Amount" fld="7" baseField="2"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5"/>
          </reference>
        </references>
      </pivotArea>
    </chartFormat>
  </chartFormats>
  <pivotTableStyleInfo name="PivotStyleLight16" showRowHeaders="1" showColHeaders="1" showRowStripes="0" showColStripes="0" showLastColumn="1"/>
  <filters count="2">
    <filter fld="1" type="dateBetween" evalOrder="-1" id="1195"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3" firstHeaderRow="1" firstDataRow="1" firstDataCol="1"/>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axis="axisRow" showAll="0">
      <items count="9">
        <item x="0"/>
        <item x="1"/>
        <item x="2"/>
        <item x="3"/>
        <item x="5"/>
        <item x="4"/>
        <item x="7"/>
        <item x="6"/>
        <item t="default"/>
      </items>
    </pivotField>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3">
    <i>
      <x v="6"/>
    </i>
    <i>
      <x v="7"/>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43FA7E9-C0E8-4969-A00F-F38B0EF492B9}" name="PivotTable14"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H13:I15" firstHeaderRow="1" firstDataRow="1" firstDataCol="1"/>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axis="axisRow" showAll="0">
      <items count="10">
        <item h="1" x="6"/>
        <item h="1" x="7"/>
        <item h="1" x="3"/>
        <item h="1" x="5"/>
        <item h="1" x="0"/>
        <item h="1" x="2"/>
        <item h="1" x="1"/>
        <item h="1" x="4"/>
        <item x="8"/>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8"/>
    </i>
    <i t="grand">
      <x/>
    </i>
  </rowItems>
  <colItems count="1">
    <i/>
  </colItems>
  <dataFields count="1">
    <dataField name="Average of Price" fld="6" subtotal="average" baseField="4" baseItem="0"/>
  </dataField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s by total amount">
  <location ref="H4:I7" firstHeaderRow="1" firstDataRow="1" firstDataCol="1"/>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3">
    <i>
      <x v="2"/>
    </i>
    <i>
      <x v="3"/>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0" firstHeaderRow="1" firstDataRow="1" firstDataCol="1"/>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axis="axisRow" showAll="0">
      <items count="10">
        <item h="1" x="6"/>
        <item h="1" x="7"/>
        <item h="1" x="3"/>
        <item h="1" x="5"/>
        <item h="1" x="0"/>
        <item h="1" x="2"/>
        <item h="1" x="1"/>
        <item h="1"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8"/>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A35:B39" firstHeaderRow="1" firstDataRow="1" firstDataCol="1"/>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showAll="0"/>
    <pivotField showAll="0"/>
    <pivotField axis="axisRow" showAll="0" measureFilter="1" sortType="descending">
      <items count="10">
        <item x="4"/>
        <item x="1"/>
        <item x="2"/>
        <item x="0"/>
        <item x="5"/>
        <item x="3"/>
        <item x="7"/>
        <item x="6"/>
        <item x="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4">
    <i>
      <x v="5"/>
    </i>
    <i>
      <x v="2"/>
    </i>
    <i>
      <x v="4"/>
    </i>
    <i t="grand">
      <x/>
    </i>
  </rowItems>
  <colItems count="1">
    <i/>
  </colItems>
  <dataFields count="1">
    <dataField name="Sum of Amount" fld="7" baseField="4"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1197"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4" type="count" evalOrder="-1" id="777"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8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4:E7" firstHeaderRow="1" firstDataRow="1" firstDataCol="1"/>
  <pivotFields count="10">
    <pivotField showAll="0"/>
    <pivotField numFmtId="14"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1"/>
        <item x="40"/>
        <item t="default"/>
      </items>
    </pivotField>
    <pivotField axis="axisRow" showAll="0">
      <items count="9">
        <item x="0"/>
        <item x="1"/>
        <item x="2"/>
        <item x="3"/>
        <item x="5"/>
        <item x="4"/>
        <item x="7"/>
        <item x="6"/>
        <item t="default"/>
      </items>
    </pivotField>
    <pivotField showAll="0"/>
    <pivotField showAll="0">
      <items count="10">
        <item x="8"/>
        <item h="1" x="6"/>
        <item h="1"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3">
    <i>
      <x v="6"/>
    </i>
    <i>
      <x v="7"/>
    </i>
    <i t="grand">
      <x/>
    </i>
  </rowItems>
  <colItems count="1">
    <i/>
  </colItems>
  <dataFields count="1">
    <dataField name="Sum of Amount"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94"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4"/>
    <pivotTable tabId="8" name="PivotTable5"/>
    <pivotTable tabId="8" name="PivotTable7"/>
    <pivotTable tabId="8" name="PivotTable8"/>
    <pivotTable tabId="8" name="PivotTable9"/>
    <pivotTable tabId="8" name="PivotTable13"/>
    <pivotTable tabId="8" name="PivotTable14"/>
  </pivotTables>
  <data>
    <tabular pivotCacheId="2123660732">
      <items count="9">
        <i x="8" s="1"/>
        <i x="6"/>
        <i x="7"/>
        <i x="3"/>
        <i x="5"/>
        <i x="0"/>
        <i x="2"/>
        <i x="1"/>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2" xr10:uid="{23DEA063-8630-42E4-9EE9-8B4C22BC0FB2}" cache="Slicer_Item" caption="Item" columnCount="8"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3" xr10:uid="{FE77BC41-78A5-4008-B4EE-B87112052DF6}" cache="Slicer_Item" caption="Item" columnCount="8"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38" headerRowBorderDxfId="37" tableBorderDxfId="36" totalsRowBorderDxfId="35">
  <autoFilter ref="A2:C8" xr:uid="{E9E678CC-A933-4146-A266-8561FE66B063}"/>
  <tableColumns count="3">
    <tableColumn id="1" xr3:uid="{F9EC0535-D2ED-4975-8C35-424457CA2DE6}" name="tradeid" dataDxfId="34"/>
    <tableColumn id="2" xr3:uid="{9B8BB1FC-668E-49CD-A8D7-420D207088F2}" name="pair" dataDxfId="33"/>
    <tableColumn id="3" xr3:uid="{5E681BDC-3DC3-4516-B864-5D0AE1542D9F}" name="profit"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31" headerRowBorderDxfId="30" tableBorderDxfId="29" totalsRowBorderDxfId="28">
  <autoFilter ref="A2:C6" xr:uid="{96F793BC-B311-4CDF-8DA7-E3AEA6D0D526}"/>
  <tableColumns count="3">
    <tableColumn id="1" xr3:uid="{68D02487-9EAC-4BB9-9D4A-0CE1E96851CB}" name="tradeid" dataDxfId="27"/>
    <tableColumn id="2" xr3:uid="{12D66D41-0E62-41A4-A2C5-9DF9CB0EA836}" name="name" dataDxfId="26"/>
    <tableColumn id="3" xr3:uid="{A9438FDE-5ADC-4819-BD3E-00588951190F}" name="lastname" dataDxfId="2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24" headerRowBorderDxfId="23" tableBorderDxfId="22" totalsRowBorderDxfId="21">
  <autoFilter ref="A2:D9" xr:uid="{2486897B-78D6-4FF7-8650-B8C9CDD52BAE}"/>
  <tableColumns count="4">
    <tableColumn id="1" xr3:uid="{777E8C10-BE98-4358-9481-1AB4CFB9A947}" name="clientid" dataDxfId="20"/>
    <tableColumn id="2" xr3:uid="{9A2DEB65-468F-480B-BEF5-AAF8ED365379}" name="name" dataDxfId="19"/>
    <tableColumn id="3" xr3:uid="{1B7491DC-0A23-4566-9F79-D44ECFF3B165}" name="lastname" dataDxfId="18"/>
    <tableColumn id="4" xr3:uid="{58765888-333D-4334-BE18-C549AC0D18CF}" name="country" dataDxfId="1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16" headerRowBorderDxfId="15" tableBorderDxfId="14" totalsRowBorderDxfId="13">
  <autoFilter ref="A3:C7" xr:uid="{C0EB578E-3BC9-41F0-B814-7E123E6A73E4}"/>
  <tableColumns count="3">
    <tableColumn id="1" xr3:uid="{FE9B4DCD-B79F-4AB2-B0AD-10867D1DB9EB}" name="productname" dataDxfId="12"/>
    <tableColumn id="2" xr3:uid="{D9CDEBC8-2AA4-4242-B5E9-CB8A496F4F5C}" name="price" dataDxfId="11"/>
    <tableColumn id="3" xr3:uid="{79BDE64B-CC2F-4093-A1AC-E9408397D3C3}" name="qte" dataDxfId="1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9" headerRowBorderDxfId="8" tableBorderDxfId="7" totalsRowBorderDxfId="6">
  <autoFilter ref="A2:C8" xr:uid="{4A9A0CE0-CDE1-4E4A-B9CB-B28BAE8443AB}"/>
  <tableColumns count="3">
    <tableColumn id="1" xr3:uid="{B6A7184C-BE63-4F0C-B6AE-738DB7257FFD}" name="date" dataDxfId="5">
      <calculatedColumnFormula>DATE(2026,10,5)</calculatedColumnFormula>
    </tableColumn>
    <tableColumn id="2" xr3:uid="{B4494D3F-AC50-4F95-AA82-23740AD1A282}" name="clientid" dataDxfId="4"/>
    <tableColumn id="3" xr3:uid="{CB7B7653-9379-419F-BB8E-37E09604FE44}" name="productname" dataDxfId="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3" totalsRowShown="0">
  <autoFilter ref="A1:H43" xr:uid="{5024BCAD-14FE-4CB7-8FC4-4DC9405A7D98}"/>
  <tableColumns count="8">
    <tableColumn id="1" xr3:uid="{496DC01D-C1B8-4F50-B198-021C6316EBB1}" name="S No"/>
    <tableColumn id="2" xr3:uid="{9D5EF8AD-7F70-4D2E-AAF2-AC2B5045BF09}" name="Date" dataDxfId="2"/>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1"/>
    <tableColumn id="8" xr3:uid="{ED0648F6-FD27-40AE-88F4-48D1D266766A}" name="Amoun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state minimalRefreshVersion="6" lastRefreshVersion="6" pivotCacheId="2123660732" filterType="dateBetween">
    <selection startDate="2023-01-01T00:00:00" endDate="2023-03-31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7AEEC7F-1B59-42CD-AC3E-005E93700E69}" cache="NativeTimeline_Date" caption="Date" showHeader="0" showSelectionLabel="0" showTimeLevel="0" showHorizontalScrollbar="0" level="2" selectionLevel="1"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CE1DB49B-9349-487E-9E64-4BEE34AC5625}" cache="NativeTimeline_Date" caption="Date" showHeader="0" showSelectionLabel="0" showTimeLevel="0" showHorizontalScrollbar="0" level="2" selectionLevel="1" scrollPosition="2023-01-01T00:00:00" style="lala"/>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1"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sheetPr codeName="Sheet1"/>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sheetPr codeName="Sheet2"/>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sheetPr codeName="Sheet3"/>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sheetPr codeName="Sheet4"/>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sheetPr codeName="Sheet5"/>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sheetPr codeName="Sheet6"/>
  <dimension ref="A2:C8"/>
  <sheetViews>
    <sheetView workbookViewId="0">
      <selection activeCell="E6" sqref="E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A2C5B-D7D5-443E-AA97-CEA35F108EF9}">
  <sheetPr codeName="Sheet7">
    <tabColor theme="9" tint="0.59999389629810485"/>
  </sheetPr>
  <dimension ref="A1"/>
  <sheetViews>
    <sheetView showGridLines="0" showRowColHeaders="0" tabSelected="1"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143D-0B44-45EE-9664-342F81F327E3}">
  <sheetPr codeName="Sheet8">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codeName="Sheet9">
    <tabColor theme="9" tint="0.59999389629810485"/>
  </sheetPr>
  <dimension ref="A1"/>
  <sheetViews>
    <sheetView showGridLines="0" workbookViewId="0">
      <selection activeCell="V7" sqref="V7"/>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codeName="Sheet10">
    <tabColor theme="9" tint="0.39997558519241921"/>
  </sheetPr>
  <dimension ref="A1:O58"/>
  <sheetViews>
    <sheetView topLeftCell="A16" workbookViewId="0"/>
  </sheetViews>
  <sheetFormatPr defaultRowHeight="14.4" x14ac:dyDescent="0.3"/>
  <cols>
    <col min="1" max="1" width="9.5546875" bestFit="1" customWidth="1"/>
    <col min="2" max="2" width="14.6640625" bestFit="1" customWidth="1"/>
    <col min="4" max="4" width="9.109375" bestFit="1" customWidth="1"/>
    <col min="5" max="5" width="13.5546875" bestFit="1" customWidth="1"/>
    <col min="8" max="8" width="24.21875" bestFit="1" customWidth="1"/>
    <col min="9" max="9" width="14.21875" bestFit="1" customWidth="1"/>
    <col min="11" max="11" width="13.109375" bestFit="1" customWidth="1"/>
    <col min="14" max="14" width="12.6640625" bestFit="1" customWidth="1"/>
  </cols>
  <sheetData>
    <row r="1" spans="1:9" x14ac:dyDescent="0.3">
      <c r="A1" s="22" t="s">
        <v>78</v>
      </c>
      <c r="B1" s="22"/>
      <c r="C1" s="22"/>
      <c r="D1" s="22"/>
      <c r="E1" s="22"/>
    </row>
    <row r="2" spans="1:9" x14ac:dyDescent="0.3">
      <c r="A2" s="22"/>
      <c r="B2" s="22"/>
      <c r="C2" s="22"/>
      <c r="D2" s="22"/>
      <c r="E2" s="22"/>
    </row>
    <row r="4" spans="1:9" x14ac:dyDescent="0.3">
      <c r="A4" s="10" t="s">
        <v>70</v>
      </c>
      <c r="B4" t="s">
        <v>68</v>
      </c>
      <c r="D4" s="10" t="s">
        <v>69</v>
      </c>
      <c r="E4" t="s">
        <v>68</v>
      </c>
      <c r="H4" s="10" t="s">
        <v>70</v>
      </c>
      <c r="I4" t="s">
        <v>68</v>
      </c>
    </row>
    <row r="5" spans="1:9" x14ac:dyDescent="0.3">
      <c r="A5" s="11" t="s">
        <v>66</v>
      </c>
      <c r="B5" s="12">
        <v>3600</v>
      </c>
      <c r="D5" s="11" t="s">
        <v>80</v>
      </c>
      <c r="E5" s="12">
        <v>168</v>
      </c>
      <c r="H5" s="11" t="s">
        <v>79</v>
      </c>
      <c r="I5" s="12">
        <v>7200</v>
      </c>
    </row>
    <row r="6" spans="1:9" x14ac:dyDescent="0.3">
      <c r="A6" s="11" t="s">
        <v>67</v>
      </c>
      <c r="B6" s="12">
        <v>3230</v>
      </c>
      <c r="D6" s="11" t="s">
        <v>84</v>
      </c>
      <c r="E6" s="12">
        <v>7200</v>
      </c>
      <c r="H6" s="11" t="s">
        <v>85</v>
      </c>
      <c r="I6" s="12">
        <v>168</v>
      </c>
    </row>
    <row r="7" spans="1:9" x14ac:dyDescent="0.3">
      <c r="A7" s="11" t="s">
        <v>61</v>
      </c>
      <c r="B7" s="12">
        <v>306000</v>
      </c>
      <c r="D7" s="11" t="s">
        <v>14</v>
      </c>
      <c r="E7" s="12">
        <v>7368</v>
      </c>
      <c r="H7" s="11" t="s">
        <v>14</v>
      </c>
      <c r="I7" s="12">
        <v>7368</v>
      </c>
    </row>
    <row r="8" spans="1:9" x14ac:dyDescent="0.3">
      <c r="A8" s="11" t="s">
        <v>65</v>
      </c>
      <c r="B8" s="12">
        <v>12000</v>
      </c>
    </row>
    <row r="9" spans="1:9" x14ac:dyDescent="0.3">
      <c r="A9" s="11" t="s">
        <v>52</v>
      </c>
      <c r="B9" s="12">
        <v>4200</v>
      </c>
    </row>
    <row r="10" spans="1:9" x14ac:dyDescent="0.3">
      <c r="A10" s="11" t="s">
        <v>57</v>
      </c>
      <c r="B10" s="12">
        <v>79800</v>
      </c>
    </row>
    <row r="11" spans="1:9" x14ac:dyDescent="0.3">
      <c r="A11" s="11" t="s">
        <v>55</v>
      </c>
      <c r="B11" s="12">
        <v>10500</v>
      </c>
    </row>
    <row r="12" spans="1:9" x14ac:dyDescent="0.3">
      <c r="A12" s="11" t="s">
        <v>63</v>
      </c>
      <c r="B12" s="12">
        <v>7200</v>
      </c>
    </row>
    <row r="13" spans="1:9" x14ac:dyDescent="0.3">
      <c r="A13" s="11" t="s">
        <v>82</v>
      </c>
      <c r="B13" s="12">
        <v>7368</v>
      </c>
      <c r="H13" s="10" t="s">
        <v>70</v>
      </c>
      <c r="I13" t="s">
        <v>83</v>
      </c>
    </row>
    <row r="14" spans="1:9" x14ac:dyDescent="0.3">
      <c r="A14" s="11" t="s">
        <v>14</v>
      </c>
      <c r="B14" s="12">
        <v>433898</v>
      </c>
      <c r="H14" s="11" t="s">
        <v>82</v>
      </c>
      <c r="I14" s="12">
        <v>56</v>
      </c>
    </row>
    <row r="15" spans="1:9" x14ac:dyDescent="0.3">
      <c r="H15" s="11" t="s">
        <v>14</v>
      </c>
      <c r="I15" s="12">
        <v>56</v>
      </c>
    </row>
    <row r="18" spans="1:5" x14ac:dyDescent="0.3">
      <c r="A18" s="10" t="s">
        <v>70</v>
      </c>
      <c r="B18" t="s">
        <v>71</v>
      </c>
    </row>
    <row r="19" spans="1:5" x14ac:dyDescent="0.3">
      <c r="A19" s="11" t="s">
        <v>82</v>
      </c>
      <c r="B19" s="12">
        <v>2</v>
      </c>
    </row>
    <row r="20" spans="1:5" x14ac:dyDescent="0.3">
      <c r="A20" s="11" t="s">
        <v>14</v>
      </c>
      <c r="B20" s="12">
        <v>2</v>
      </c>
      <c r="D20" s="10" t="s">
        <v>69</v>
      </c>
      <c r="E20" t="s">
        <v>71</v>
      </c>
    </row>
    <row r="21" spans="1:5" x14ac:dyDescent="0.3">
      <c r="D21" s="11" t="s">
        <v>80</v>
      </c>
      <c r="E21" s="12">
        <v>1</v>
      </c>
    </row>
    <row r="22" spans="1:5" x14ac:dyDescent="0.3">
      <c r="D22" s="11" t="s">
        <v>84</v>
      </c>
      <c r="E22" s="12">
        <v>1</v>
      </c>
    </row>
    <row r="23" spans="1:5" x14ac:dyDescent="0.3">
      <c r="D23" s="11" t="s">
        <v>14</v>
      </c>
      <c r="E23" s="12">
        <v>2</v>
      </c>
    </row>
    <row r="35" spans="1:5" x14ac:dyDescent="0.3">
      <c r="A35" s="10" t="s">
        <v>70</v>
      </c>
      <c r="B35" t="s">
        <v>68</v>
      </c>
      <c r="D35" s="10" t="s">
        <v>69</v>
      </c>
      <c r="E35" t="s">
        <v>68</v>
      </c>
    </row>
    <row r="36" spans="1:5" x14ac:dyDescent="0.3">
      <c r="A36" s="11" t="s">
        <v>61</v>
      </c>
      <c r="B36" s="12">
        <v>306000</v>
      </c>
      <c r="D36" s="11" t="s">
        <v>80</v>
      </c>
      <c r="E36" s="12">
        <v>168</v>
      </c>
    </row>
    <row r="37" spans="1:5" x14ac:dyDescent="0.3">
      <c r="A37" s="11" t="s">
        <v>57</v>
      </c>
      <c r="B37" s="12">
        <v>79800</v>
      </c>
      <c r="D37" s="11" t="s">
        <v>84</v>
      </c>
      <c r="E37" s="12">
        <v>7200</v>
      </c>
    </row>
    <row r="38" spans="1:5" x14ac:dyDescent="0.3">
      <c r="A38" s="11" t="s">
        <v>65</v>
      </c>
      <c r="B38" s="12">
        <v>12000</v>
      </c>
      <c r="D38" s="11" t="s">
        <v>14</v>
      </c>
      <c r="E38" s="12">
        <v>7368</v>
      </c>
    </row>
    <row r="39" spans="1:5" x14ac:dyDescent="0.3">
      <c r="A39" s="11" t="s">
        <v>14</v>
      </c>
      <c r="B39" s="12">
        <v>397800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1" t="s">
        <v>77</v>
      </c>
      <c r="B53" s="21"/>
      <c r="C53" s="21"/>
      <c r="D53" s="21"/>
      <c r="E53" s="21"/>
      <c r="F53" s="21"/>
      <c r="G53" s="21"/>
      <c r="H53" s="21"/>
      <c r="I53" s="21"/>
      <c r="J53" s="21"/>
      <c r="K53" s="21"/>
      <c r="L53" s="21"/>
      <c r="M53" s="21"/>
      <c r="N53" s="21"/>
      <c r="O53" s="21"/>
    </row>
    <row r="54" spans="1:15" x14ac:dyDescent="0.3">
      <c r="A54" s="21"/>
      <c r="B54" s="21"/>
      <c r="C54" s="21"/>
      <c r="D54" s="21"/>
      <c r="E54" s="21"/>
      <c r="F54" s="21"/>
      <c r="G54" s="21"/>
      <c r="H54" s="21"/>
      <c r="I54" s="21"/>
      <c r="J54" s="21"/>
      <c r="K54" s="21"/>
      <c r="L54" s="21"/>
      <c r="M54" s="21"/>
      <c r="N54" s="21"/>
      <c r="O54" s="21"/>
    </row>
    <row r="57" spans="1:15" x14ac:dyDescent="0.3">
      <c r="A57" t="s">
        <v>72</v>
      </c>
      <c r="D57" t="s">
        <v>73</v>
      </c>
      <c r="H57" t="s">
        <v>74</v>
      </c>
      <c r="K57" t="s">
        <v>75</v>
      </c>
      <c r="N57" t="s">
        <v>76</v>
      </c>
    </row>
    <row r="58" spans="1:15" x14ac:dyDescent="0.3">
      <c r="A58" s="12">
        <v>7368</v>
      </c>
      <c r="B58" s="20">
        <f>GETPIVOTDATA("Amount",$A$57)</f>
        <v>7368</v>
      </c>
      <c r="D58" s="12">
        <v>2</v>
      </c>
      <c r="E58" s="20">
        <f>GETPIVOTDATA("Amount",$D$57)</f>
        <v>2</v>
      </c>
      <c r="H58" s="12">
        <v>3684</v>
      </c>
      <c r="I58" s="20">
        <f>GETPIVOTDATA("Amount",$H$57)</f>
        <v>3684</v>
      </c>
      <c r="K58" s="12">
        <v>7200</v>
      </c>
      <c r="L58" s="20">
        <f>GETPIVOTDATA("Amount",$K$57)</f>
        <v>7200</v>
      </c>
      <c r="N58" s="12">
        <v>168</v>
      </c>
      <c r="O58" s="20">
        <f>GETPIVOTDATA("Amount",$N$57)</f>
        <v>168</v>
      </c>
    </row>
  </sheetData>
  <mergeCells count="2">
    <mergeCell ref="A53:O54"/>
    <mergeCell ref="A1:E2"/>
  </mergeCells>
  <pageMargins left="0.7" right="0.7" top="0.75" bottom="0.75" header="0.3" footer="0.3"/>
  <drawing r:id="rId1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codeName="Sheet11">
    <tabColor theme="9" tint="-0.249977111117893"/>
  </sheetPr>
  <dimension ref="A1:H43"/>
  <sheetViews>
    <sheetView topLeftCell="A15" workbookViewId="0">
      <selection activeCell="K39" sqref="K39"/>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row r="42" spans="1:8" x14ac:dyDescent="0.3">
      <c r="A42">
        <v>42</v>
      </c>
      <c r="B42" s="18">
        <v>44967</v>
      </c>
      <c r="C42" t="s">
        <v>84</v>
      </c>
      <c r="D42" t="s">
        <v>81</v>
      </c>
      <c r="E42" t="s">
        <v>82</v>
      </c>
      <c r="F42">
        <v>6</v>
      </c>
      <c r="G42" s="19">
        <v>56</v>
      </c>
      <c r="H42" s="19">
        <v>7200</v>
      </c>
    </row>
    <row r="43" spans="1:8" x14ac:dyDescent="0.3">
      <c r="A43">
        <v>41</v>
      </c>
      <c r="B43" s="18">
        <v>45004</v>
      </c>
      <c r="C43" t="s">
        <v>80</v>
      </c>
      <c r="D43" t="s">
        <v>81</v>
      </c>
      <c r="E43" t="s">
        <v>82</v>
      </c>
      <c r="F43">
        <v>3</v>
      </c>
      <c r="G43" s="19">
        <v>56</v>
      </c>
      <c r="H43" s="19">
        <f>dataraw[[#This Row],[Price]]*dataraw[[#This Row],[Qty]]</f>
        <v>168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AD81E317-133D-4269-AD8E-F0B60817F787}">
  <ds:schemaRefs/>
</ds:datastoreItem>
</file>

<file path=customXml/itemProps2.xml><?xml version="1.0" encoding="utf-8"?>
<ds:datastoreItem xmlns:ds="http://schemas.openxmlformats.org/officeDocument/2006/customXml" ds:itemID="{F983B97C-63D1-4E74-B3D4-7D94D857A850}">
  <ds:schemaRefs/>
</ds:datastoreItem>
</file>

<file path=customXml/itemProps3.xml><?xml version="1.0" encoding="utf-8"?>
<ds:datastoreItem xmlns:ds="http://schemas.openxmlformats.org/officeDocument/2006/customXml" ds:itemID="{A9D16D73-DF80-4591-8AB4-5AF50CD0432F}">
  <ds:schemaRefs/>
</ds:datastoreItem>
</file>

<file path=customXml/itemProps4.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5.xml><?xml version="1.0" encoding="utf-8"?>
<ds:datastoreItem xmlns:ds="http://schemas.openxmlformats.org/officeDocument/2006/customXml" ds:itemID="{8D614C0A-C1D5-4131-B799-8087D62F9D8C}">
  <ds:schemaRefs/>
</ds:datastoreItem>
</file>

<file path=customXml/itemProps6.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7.xml><?xml version="1.0" encoding="utf-8"?>
<ds:datastoreItem xmlns:ds="http://schemas.openxmlformats.org/officeDocument/2006/customXml" ds:itemID="{B395E832-2FB1-4FCC-8347-BC626FE079C4}">
  <ds:schemaRefs/>
</ds:datastoreItem>
</file>

<file path=customXml/itemProps8.xml><?xml version="1.0" encoding="utf-8"?>
<ds:datastoreItem xmlns:ds="http://schemas.openxmlformats.org/officeDocument/2006/customXml" ds:itemID="{62B2A0ED-C6CC-4EFC-AA6E-CE4344ECBA17}">
  <ds:schemaRefs/>
</ds:datastoreItem>
</file>

<file path=customXml/itemProps9.xml><?xml version="1.0" encoding="utf-8"?>
<ds:datastoreItem xmlns:ds="http://schemas.openxmlformats.org/officeDocument/2006/customXml" ds:itemID="{BC246F50-D6F7-44C6-B8B9-1DFA91E983AB}">
  <ds:schemaRefs/>
</ds:datastoreItem>
</file>

<file path=customXml/itemProps10.xml><?xml version="1.0" encoding="utf-8"?>
<ds:datastoreItem xmlns:ds="http://schemas.openxmlformats.org/officeDocument/2006/customXml" ds:itemID="{7EBAD9F7-20F9-4DD8-B5A1-D8BE043A97CF}">
  <ds:schemaRefs/>
</ds:datastoreItem>
</file>

<file path=customXml/itemProps11.xml><?xml version="1.0" encoding="utf-8"?>
<ds:datastoreItem xmlns:ds="http://schemas.openxmlformats.org/officeDocument/2006/customXml" ds:itemID="{AEAAFECA-2DE4-4B02-AD25-A0FB5A56E772}">
  <ds:schemaRefs/>
</ds:datastoreItem>
</file>

<file path=customXml/itemProps12.xml><?xml version="1.0" encoding="utf-8"?>
<ds:datastoreItem xmlns:ds="http://schemas.openxmlformats.org/officeDocument/2006/customXml" ds:itemID="{EA216088-64F2-4B38-88C8-2BB51C84CDE2}">
  <ds:schemaRefs/>
</ds:datastoreItem>
</file>

<file path=customXml/itemProps13.xml><?xml version="1.0" encoding="utf-8"?>
<ds:datastoreItem xmlns:ds="http://schemas.openxmlformats.org/officeDocument/2006/customXml" ds:itemID="{0092E684-A59A-4104-A123-0A01CF8CC963}">
  <ds:schemaRefs/>
</ds:datastoreItem>
</file>

<file path=customXml/itemProps14.xml><?xml version="1.0" encoding="utf-8"?>
<ds:datastoreItem xmlns:ds="http://schemas.openxmlformats.org/officeDocument/2006/customXml" ds:itemID="{9AFCE036-CB70-4BEA-9D4F-DEFD2F183AF4}">
  <ds:schemaRefs/>
</ds:datastoreItem>
</file>

<file path=customXml/itemProps15.xml><?xml version="1.0" encoding="utf-8"?>
<ds:datastoreItem xmlns:ds="http://schemas.openxmlformats.org/officeDocument/2006/customXml" ds:itemID="{38E109C5-2E84-4F87-B114-B2909FDD7E92}">
  <ds:schemaRefs/>
</ds:datastoreItem>
</file>

<file path=customXml/itemProps16.xml><?xml version="1.0" encoding="utf-8"?>
<ds:datastoreItem xmlns:ds="http://schemas.openxmlformats.org/officeDocument/2006/customXml" ds:itemID="{E3BFA8F2-3794-431F-9EB3-21512B27BFD5}">
  <ds:schemaRefs/>
</ds:datastoreItem>
</file>

<file path=customXml/itemProps17.xml><?xml version="1.0" encoding="utf-8"?>
<ds:datastoreItem xmlns:ds="http://schemas.openxmlformats.org/officeDocument/2006/customXml" ds:itemID="{009A43EF-AB09-4DF7-BCBD-BD0B054FA1A7}">
  <ds:schemaRefs/>
</ds:datastoreItem>
</file>

<file path=customXml/itemProps18.xml><?xml version="1.0" encoding="utf-8"?>
<ds:datastoreItem xmlns:ds="http://schemas.openxmlformats.org/officeDocument/2006/customXml" ds:itemID="{D1CDC618-B7E4-42ED-9136-887556D3E8F6}">
  <ds:schemaRefs/>
</ds:datastoreItem>
</file>

<file path=customXml/itemProps19.xml><?xml version="1.0" encoding="utf-8"?>
<ds:datastoreItem xmlns:ds="http://schemas.openxmlformats.org/officeDocument/2006/customXml" ds:itemID="{1726B34E-27E4-44AF-B32B-538A89F891D7}">
  <ds:schemaRefs/>
</ds:datastoreItem>
</file>

<file path=customXml/itemProps20.xml><?xml version="1.0" encoding="utf-8"?>
<ds:datastoreItem xmlns:ds="http://schemas.openxmlformats.org/officeDocument/2006/customXml" ds:itemID="{B51FFAB7-8A72-460A-905A-E4369F52DD03}">
  <ds:schemaRefs/>
</ds:datastoreItem>
</file>

<file path=customXml/itemProps21.xml><?xml version="1.0" encoding="utf-8"?>
<ds:datastoreItem xmlns:ds="http://schemas.openxmlformats.org/officeDocument/2006/customXml" ds:itemID="{2602C3D6-1CC3-4E3C-9976-E98BBA07608A}">
  <ds:schemaRefs/>
</ds:datastoreItem>
</file>

<file path=customXml/itemProps22.xml><?xml version="1.0" encoding="utf-8"?>
<ds:datastoreItem xmlns:ds="http://schemas.openxmlformats.org/officeDocument/2006/customXml" ds:itemID="{0C683F7F-38FA-452A-B137-2BE4C456C08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pivot table</vt:lpstr>
      <vt:lpstr>trades</vt:lpstr>
      <vt:lpstr>traders</vt:lpstr>
      <vt:lpstr>client </vt:lpstr>
      <vt:lpstr>productname</vt:lpstr>
      <vt:lpstr>invoice</vt:lpstr>
      <vt:lpstr>salesman</vt:lpstr>
      <vt:lpstr>products</vt:lpstr>
      <vt:lpstr>dashboard</vt:lpstr>
      <vt:lpstr>pivot table sales</vt:lpstr>
      <vt:lpstr>data raw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2026-10-09T22:48:55Z</dcterms:modified>
</cp:coreProperties>
</file>