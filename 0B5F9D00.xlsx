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power bi\"/>
    </mc:Choice>
  </mc:AlternateContent>
  <xr:revisionPtr revIDLastSave="0" documentId="13_ncr:1_{335AA08A-0D72-4D1E-B270-56EB7B506255}" xr6:coauthVersionLast="47" xr6:coauthVersionMax="47" xr10:uidLastSave="{00000000-0000-0000-0000-000000000000}"/>
  <bookViews>
    <workbookView xWindow="-108" yWindow="-108" windowWidth="23256" windowHeight="12456" xr2:uid="{30BFA6B8-A676-4931-80C6-DA6F72E44419}"/>
  </bookViews>
  <sheets>
    <sheet name="dashboard" sheetId="4" r:id="rId1"/>
    <sheet name="data analysis" sheetId="3" r:id="rId2"/>
    <sheet name="table" sheetId="2" r:id="rId3"/>
    <sheet name="data" sheetId="1" r:id="rId4"/>
  </sheets>
  <definedNames>
    <definedName name="ExternalData_1" localSheetId="2" hidden="1">table!$A$1:$H$41</definedName>
  </definedNames>
  <calcPr calcId="191029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7" i="3" l="1"/>
  <c r="C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0D4680E-8917-4A64-9E63-381C72A41241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<sst xmlns="http://schemas.openxmlformats.org/spreadsheetml/2006/main" count="260" uniqueCount="30">
  <si>
    <t>S No</t>
  </si>
  <si>
    <t>Date</t>
  </si>
  <si>
    <t>Salesman</t>
  </si>
  <si>
    <t>Region</t>
  </si>
  <si>
    <t>Item</t>
  </si>
  <si>
    <t>Qty</t>
  </si>
  <si>
    <t>Price</t>
  </si>
  <si>
    <t>Amount</t>
  </si>
  <si>
    <t>Ahmed Said</t>
  </si>
  <si>
    <t>Cairo</t>
  </si>
  <si>
    <t>Mouse</t>
  </si>
  <si>
    <t>Ali Ramadan</t>
  </si>
  <si>
    <t>Domietta</t>
  </si>
  <si>
    <t>Scanner</t>
  </si>
  <si>
    <t>Ashraf Zaki</t>
  </si>
  <si>
    <t>Printer</t>
  </si>
  <si>
    <t>Fathy Ali</t>
  </si>
  <si>
    <t>Tamer Mohamed</t>
  </si>
  <si>
    <t>Khaled Hassan</t>
  </si>
  <si>
    <t>Laptop</t>
  </si>
  <si>
    <t>Giza</t>
  </si>
  <si>
    <t>Speaker</t>
  </si>
  <si>
    <t>Alexandria</t>
  </si>
  <si>
    <t>Monitor</t>
  </si>
  <si>
    <t>Headset</t>
  </si>
  <si>
    <t>Keyboard</t>
  </si>
  <si>
    <t>TOTAL SALES</t>
  </si>
  <si>
    <t>TOTAL ITEM</t>
  </si>
  <si>
    <t>AVG SALES</t>
  </si>
  <si>
    <t>KPIS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</si>
</sst>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72" formatCode="_(&quot;$&quot;* #,##0_);_(&quot;$&quot;* \(#,##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3" fontId="0" fillId="0" borderId="0" xfId="0" applyNumberFormat="1"/>
    <xf numFmtId="0" fontId="0" fillId="0" borderId="0" xfId="0" applyNumberFormat="1"/>
    <xf numFmtId="0" fontId="0" fillId="2" borderId="0" xfId="0" applyNumberFormat="1" applyFill="1"/>
    <xf numFmtId="0" fontId="0" fillId="0" borderId="0" xfId="0" applyAlignment="1">
      <alignment horizontal="center"/>
    </xf>
    <xf numFmtId="172" fontId="0" fillId="2" borderId="0" xfId="1" applyNumberFormat="1" applyFont="1" applyFill="1"/>
  </cellXfs>
  <cellStyles count="2">
    <cellStyle name="Currency" xfId="1" builtinId="4"/>
    <cellStyle name="Normal" xfId="0" builtinId="0"/>
  </cellStyles>
  <dxfs count="46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556260</xdr:colOff>
      <xdr:row>3</xdr:row>
      <xdr:rowOff>152400</xdr:rowOff>
    </xdr:from>
    <xdr:to>
      <xdr:col>6</xdr:col>
      <xdr:colOff>594360</xdr:colOff>
      <xdr:row>7</xdr:row>
      <xdr:rowOff>160020</xdr:rowOff>
    </xdr:to>
    <xdr:sp macro="" textlink="'data analysis'!A7">
      <xdr:nvSpPr>
        <xdr:cNvPr id="2" name="TextBox 1">
          <a:extLst>
            <a:ext uri="{FF2B5EF4-FFF2-40B4-BE49-F238E27FC236}">
              <a16:creationId xmlns:a16="http://schemas.microsoft.com/office/drawing/2014/main" id="{298D81AF-3522-AE4E-1E11-5B9B0E9C0C11}"/>
            </a:ext>
          </a:extLst>
        </xdr:cNvPr>
        <xdr:cNvSpPr txBox="1"/>
      </xdr:nvSpPr>
      <xdr:spPr>
        <a:xfrm>
          <a:off x="2385060" y="701040"/>
          <a:ext cx="1866900" cy="739140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fld id="{E579ED93-EF0A-42B5-9B0D-24E1CFD28BCA}" type="TxLink">
            <a:rPr lang="en-US" sz="2000" b="1" i="0" u="none" strike="noStrike">
              <a:solidFill>
                <a:srgbClr val="000000"/>
              </a:solidFill>
              <a:latin typeface="Aptos Narrow"/>
            </a:rPr>
            <a:pPr algn="r"/>
            <a:t> $426,530 </a:t>
          </a:fld>
          <a:endParaRPr lang="en-US" sz="2000" b="1">
            <a:latin typeface="Gotham" panose="02000504020000020004" pitchFamily="2" charset="0"/>
          </a:endParaRPr>
        </a:p>
      </xdr:txBody>
    </xdr:sp>
    <xdr:clientData/>
  </xdr:twoCellAnchor>
  <xdr:twoCellAnchor>
    <xdr:from>
      <xdr:col>8</xdr:col>
      <xdr:colOff>240030</xdr:colOff>
      <xdr:row>3</xdr:row>
      <xdr:rowOff>152400</xdr:rowOff>
    </xdr:from>
    <xdr:to>
      <xdr:col>11</xdr:col>
      <xdr:colOff>278130</xdr:colOff>
      <xdr:row>7</xdr:row>
      <xdr:rowOff>160020</xdr:rowOff>
    </xdr:to>
    <xdr:sp macro="" textlink="'data analysis'!C7">
      <xdr:nvSpPr>
        <xdr:cNvPr id="3" name="TextBox 2">
          <a:extLst>
            <a:ext uri="{FF2B5EF4-FFF2-40B4-BE49-F238E27FC236}">
              <a16:creationId xmlns:a16="http://schemas.microsoft.com/office/drawing/2014/main" id="{E128FE5D-66DC-2A53-2918-C5B556CBB598}"/>
            </a:ext>
          </a:extLst>
        </xdr:cNvPr>
        <xdr:cNvSpPr txBox="1"/>
      </xdr:nvSpPr>
      <xdr:spPr>
        <a:xfrm>
          <a:off x="5116830" y="701040"/>
          <a:ext cx="1866900" cy="739140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fld id="{CAE52DA5-E783-42D2-873D-9F631120CFC5}" type="TxLink">
            <a:rPr lang="en-US" sz="2000" b="1" i="0" u="none" strike="noStrike">
              <a:solidFill>
                <a:srgbClr val="000000"/>
              </a:solidFill>
              <a:latin typeface="+mj-lt"/>
            </a:rPr>
            <a:pPr algn="r"/>
            <a:t>40</a:t>
          </a:fld>
          <a:endParaRPr lang="en-US" sz="2000" b="1">
            <a:latin typeface="+mj-lt"/>
          </a:endParaRPr>
        </a:p>
      </xdr:txBody>
    </xdr:sp>
    <xdr:clientData/>
  </xdr:twoCellAnchor>
  <xdr:twoCellAnchor>
    <xdr:from>
      <xdr:col>12</xdr:col>
      <xdr:colOff>533400</xdr:colOff>
      <xdr:row>3</xdr:row>
      <xdr:rowOff>152400</xdr:rowOff>
    </xdr:from>
    <xdr:to>
      <xdr:col>15</xdr:col>
      <xdr:colOff>571500</xdr:colOff>
      <xdr:row>7</xdr:row>
      <xdr:rowOff>160020</xdr:rowOff>
    </xdr:to>
    <xdr:sp macro="" textlink="'data analysis'!E7">
      <xdr:nvSpPr>
        <xdr:cNvPr id="4" name="TextBox 3">
          <a:extLst>
            <a:ext uri="{FF2B5EF4-FFF2-40B4-BE49-F238E27FC236}">
              <a16:creationId xmlns:a16="http://schemas.microsoft.com/office/drawing/2014/main" id="{9CF5D85A-1B58-1E0F-6ECB-D976385F9B60}"/>
            </a:ext>
          </a:extLst>
        </xdr:cNvPr>
        <xdr:cNvSpPr txBox="1"/>
      </xdr:nvSpPr>
      <xdr:spPr>
        <a:xfrm>
          <a:off x="7848600" y="701040"/>
          <a:ext cx="1866900" cy="739140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fld id="{5705C105-A208-49EE-830A-EA84537AE66E}" type="TxLink">
            <a:rPr lang="en-US" sz="2000" b="1" i="0" u="none" strike="noStrike">
              <a:solidFill>
                <a:srgbClr val="000000"/>
              </a:solidFill>
              <a:latin typeface="Aptos Narrow"/>
            </a:rPr>
            <a:t>10663.25</a:t>
          </a:fld>
          <a:endParaRPr lang="en-US" sz="2000" b="1">
            <a:latin typeface="Gotham" panose="02000504020000020004" pitchFamily="2" charset="0"/>
          </a:endParaRPr>
        </a:p>
      </xdr:txBody>
    </xdr:sp>
    <xdr:clientData/>
  </xdr:twoCellAnchor>
  <xdr:twoCellAnchor editAs="oneCell">
    <xdr:from>
      <xdr:col>4</xdr:col>
      <xdr:colOff>83820</xdr:colOff>
      <xdr:row>4</xdr:row>
      <xdr:rowOff>106680</xdr:rowOff>
    </xdr:from>
    <xdr:to>
      <xdr:col>4</xdr:col>
      <xdr:colOff>541020</xdr:colOff>
      <xdr:row>7</xdr:row>
      <xdr:rowOff>15240</xdr:rowOff>
    </xdr:to>
    <xdr:pic>
      <xdr:nvPicPr>
        <xdr:cNvPr id="6" name="Graphic 5" descr="Money with solid fill">
          <a:extLst>
            <a:ext uri="{FF2B5EF4-FFF2-40B4-BE49-F238E27FC236}">
              <a16:creationId xmlns:a16="http://schemas.microsoft.com/office/drawing/2014/main" id="{CAD87EE3-6A2A-DAE4-1F6A-4CBB4C810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522220" y="838200"/>
          <a:ext cx="457200" cy="457200"/>
        </a:xfrm>
        <a:prstGeom prst="rect">
          <a:avLst/>
        </a:prstGeom>
      </xdr:spPr>
    </xdr:pic>
    <xdr:clientData/>
  </xdr:twoCellAnchor>
  <xdr:twoCellAnchor editAs="oneCell">
    <xdr:from>
      <xdr:col>8</xdr:col>
      <xdr:colOff>365760</xdr:colOff>
      <xdr:row>4</xdr:row>
      <xdr:rowOff>114300</xdr:rowOff>
    </xdr:from>
    <xdr:to>
      <xdr:col>9</xdr:col>
      <xdr:colOff>213360</xdr:colOff>
      <xdr:row>7</xdr:row>
      <xdr:rowOff>22860</xdr:rowOff>
    </xdr:to>
    <xdr:pic>
      <xdr:nvPicPr>
        <xdr:cNvPr id="8" name="Graphic 7" descr="Bar chart with solid fill">
          <a:extLst>
            <a:ext uri="{FF2B5EF4-FFF2-40B4-BE49-F238E27FC236}">
              <a16:creationId xmlns:a16="http://schemas.microsoft.com/office/drawing/2014/main" id="{8D3243E3-E0D5-78A8-0AF9-066946EF9B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5242560" y="845820"/>
          <a:ext cx="457200" cy="457200"/>
        </a:xfrm>
        <a:prstGeom prst="rect">
          <a:avLst/>
        </a:prstGeom>
      </xdr:spPr>
    </xdr:pic>
    <xdr:clientData/>
  </xdr:twoCellAnchor>
  <xdr:twoCellAnchor editAs="oneCell">
    <xdr:from>
      <xdr:col>13</xdr:col>
      <xdr:colOff>68580</xdr:colOff>
      <xdr:row>4</xdr:row>
      <xdr:rowOff>106680</xdr:rowOff>
    </xdr:from>
    <xdr:to>
      <xdr:col>13</xdr:col>
      <xdr:colOff>525780</xdr:colOff>
      <xdr:row>7</xdr:row>
      <xdr:rowOff>15240</xdr:rowOff>
    </xdr:to>
    <xdr:pic>
      <xdr:nvPicPr>
        <xdr:cNvPr id="10" name="Graphic 9" descr="Coins with solid fill">
          <a:extLst>
            <a:ext uri="{FF2B5EF4-FFF2-40B4-BE49-F238E27FC236}">
              <a16:creationId xmlns:a16="http://schemas.microsoft.com/office/drawing/2014/main" id="{820BEEF1-CD67-BB33-C74D-0C2F9D4BEF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7993380" y="838200"/>
          <a:ext cx="457200" cy="45720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309.977522453701" createdVersion="8" refreshedVersion="8" minRefreshableVersion="3" recordCount="40" xr:uid="{FFB1D962-FE14-49D9-BFDB-4943184A39C0}">
  <cacheSource type="worksheet">
    <worksheetSource name="sales"/>
  </cacheSource>
  <cacheFields count="8">
    <cacheField name="S No" numFmtId="0">
      <sharedItems containsSemiMixedTypes="0" containsString="0" containsNumber="1" containsInteger="1" minValue="1" maxValue="40"/>
    </cacheField>
    <cacheField name="Date" numFmtId="14">
      <sharedItems containsSemiMixedTypes="0" containsNonDate="0" containsDate="1" containsString="0" minDate="2023-01-01T00:00:00" maxDate="2023-02-10T00:00:00" count="40"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</sharedItems>
    </cacheField>
    <cacheField name="Salesman" numFmtId="0">
      <sharedItems/>
    </cacheField>
    <cacheField name="Region" numFmtId="0">
      <sharedItems/>
    </cacheField>
    <cacheField name="Item" numFmtId="0">
      <sharedItems count="8">
        <s v="Mouse"/>
        <s v="Scanner"/>
        <s v="Printer"/>
        <s v="Laptop"/>
        <s v="Speaker"/>
        <s v="Monitor"/>
        <s v="Headset"/>
        <s v="Keyboard"/>
      </sharedItems>
    </cacheField>
    <cacheField name="Qty" numFmtId="0">
      <sharedItems containsSemiMixedTypes="0" containsString="0" containsNumber="1" containsInteger="1" minValue="1" maxValue="8"/>
    </cacheField>
    <cacheField name="Price" numFmtId="0">
      <sharedItems containsSemiMixedTypes="0" containsString="0" containsNumber="1" containsInteger="1" minValue="190" maxValue="8500"/>
    </cacheField>
    <cacheField name="Amount" numFmtId="0">
      <sharedItems containsSemiMixedTypes="0" containsString="0" containsNumber="1" containsInteger="1" minValue="190" maxValue="68000" count="28">
        <n v="1050"/>
        <n v="4500"/>
        <n v="14700"/>
        <n v="420"/>
        <n v="1500"/>
        <n v="34000"/>
        <n v="300"/>
        <n v="51000"/>
        <n v="4800"/>
        <n v="4200"/>
        <n v="12600"/>
        <n v="1800"/>
        <n v="2100"/>
        <n v="600"/>
        <n v="2700"/>
        <n v="1140"/>
        <n v="42500"/>
        <n v="190"/>
        <n v="1260"/>
        <n v="760"/>
        <n v="68000"/>
        <n v="900"/>
        <n v="6300"/>
        <n v="17000"/>
        <n v="380"/>
        <n v="25500"/>
        <n v="10500"/>
        <n v="7200"/>
      </sharedItems>
    </cacheField>
  </cacheFields>
  <extLst>
    <ext xmlns:x14="http://schemas.microsoft.com/office/spreadsheetml/2009/9/main" uri="{725AE2AE-9491-48be-B2B4-4EB974FC3084}">
      <x14:pivotCacheDefinition pivotCacheId="54819454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"/>
    <x v="0"/>
    <s v="Ahmed Said"/>
    <s v="Cairo"/>
    <x v="0"/>
    <n v="5"/>
    <n v="210"/>
    <x v="0"/>
  </r>
  <r>
    <n v="2"/>
    <x v="1"/>
    <s v="Ali Ramadan"/>
    <s v="Domietta"/>
    <x v="1"/>
    <n v="3"/>
    <n v="1500"/>
    <x v="1"/>
  </r>
  <r>
    <n v="3"/>
    <x v="2"/>
    <s v="Ashraf Zaki"/>
    <s v="Cairo"/>
    <x v="2"/>
    <n v="7"/>
    <n v="2100"/>
    <x v="2"/>
  </r>
  <r>
    <n v="4"/>
    <x v="3"/>
    <s v="Fathy Ali"/>
    <s v="Cairo"/>
    <x v="0"/>
    <n v="2"/>
    <n v="210"/>
    <x v="3"/>
  </r>
  <r>
    <n v="5"/>
    <x v="4"/>
    <s v="Tamer Mohamed"/>
    <s v="Domietta"/>
    <x v="1"/>
    <n v="1"/>
    <n v="1500"/>
    <x v="4"/>
  </r>
  <r>
    <n v="6"/>
    <x v="5"/>
    <s v="Khaled Hassan"/>
    <s v="Domietta"/>
    <x v="3"/>
    <n v="4"/>
    <n v="8500"/>
    <x v="5"/>
  </r>
  <r>
    <n v="7"/>
    <x v="6"/>
    <s v="Ahmed Said"/>
    <s v="Giza"/>
    <x v="4"/>
    <n v="1"/>
    <n v="300"/>
    <x v="6"/>
  </r>
  <r>
    <n v="8"/>
    <x v="7"/>
    <s v="Ali Ramadan"/>
    <s v="Domietta"/>
    <x v="3"/>
    <n v="6"/>
    <n v="8500"/>
    <x v="7"/>
  </r>
  <r>
    <n v="9"/>
    <x v="8"/>
    <s v="Ashraf Zaki"/>
    <s v="Alexandria"/>
    <x v="5"/>
    <n v="4"/>
    <n v="1200"/>
    <x v="8"/>
  </r>
  <r>
    <n v="10"/>
    <x v="9"/>
    <s v="Fathy Ali"/>
    <s v="Alexandria"/>
    <x v="2"/>
    <n v="2"/>
    <n v="2100"/>
    <x v="9"/>
  </r>
  <r>
    <n v="11"/>
    <x v="10"/>
    <s v="Tamer Mohamed"/>
    <s v="Giza"/>
    <x v="2"/>
    <n v="6"/>
    <n v="2100"/>
    <x v="10"/>
  </r>
  <r>
    <n v="12"/>
    <x v="11"/>
    <s v="Khaled Hassan"/>
    <s v="Alexandria"/>
    <x v="4"/>
    <n v="1"/>
    <n v="300"/>
    <x v="6"/>
  </r>
  <r>
    <n v="13"/>
    <x v="12"/>
    <s v="Ahmed Said"/>
    <s v="Giza"/>
    <x v="2"/>
    <n v="7"/>
    <n v="2100"/>
    <x v="2"/>
  </r>
  <r>
    <n v="14"/>
    <x v="13"/>
    <s v="Ali Ramadan"/>
    <s v="Cairo"/>
    <x v="4"/>
    <n v="6"/>
    <n v="300"/>
    <x v="11"/>
  </r>
  <r>
    <n v="15"/>
    <x v="14"/>
    <s v="Ashraf Zaki"/>
    <s v="Domietta"/>
    <x v="2"/>
    <n v="1"/>
    <n v="2100"/>
    <x v="12"/>
  </r>
  <r>
    <n v="16"/>
    <x v="15"/>
    <s v="Fathy Ali"/>
    <s v="Domietta"/>
    <x v="4"/>
    <n v="2"/>
    <n v="300"/>
    <x v="13"/>
  </r>
  <r>
    <n v="17"/>
    <x v="16"/>
    <s v="Tamer Mohamed"/>
    <s v="Domietta"/>
    <x v="2"/>
    <n v="7"/>
    <n v="2100"/>
    <x v="2"/>
  </r>
  <r>
    <n v="18"/>
    <x v="17"/>
    <s v="Khaled Hassan"/>
    <s v="Alexandria"/>
    <x v="6"/>
    <n v="6"/>
    <n v="450"/>
    <x v="14"/>
  </r>
  <r>
    <n v="19"/>
    <x v="18"/>
    <s v="Ahmed Said"/>
    <s v="Domietta"/>
    <x v="7"/>
    <n v="6"/>
    <n v="190"/>
    <x v="15"/>
  </r>
  <r>
    <n v="20"/>
    <x v="19"/>
    <s v="Ali Ramadan"/>
    <s v="Domietta"/>
    <x v="4"/>
    <n v="2"/>
    <n v="300"/>
    <x v="13"/>
  </r>
  <r>
    <n v="21"/>
    <x v="20"/>
    <s v="Ashraf Zaki"/>
    <s v="Domietta"/>
    <x v="1"/>
    <n v="3"/>
    <n v="1500"/>
    <x v="1"/>
  </r>
  <r>
    <n v="22"/>
    <x v="21"/>
    <s v="Fathy Ali"/>
    <s v="Giza"/>
    <x v="3"/>
    <n v="5"/>
    <n v="8500"/>
    <x v="16"/>
  </r>
  <r>
    <n v="23"/>
    <x v="22"/>
    <s v="Tamer Mohamed"/>
    <s v="Domietta"/>
    <x v="7"/>
    <n v="1"/>
    <n v="190"/>
    <x v="17"/>
  </r>
  <r>
    <n v="24"/>
    <x v="23"/>
    <s v="Khaled Hassan"/>
    <s v="Domietta"/>
    <x v="0"/>
    <n v="6"/>
    <n v="210"/>
    <x v="18"/>
  </r>
  <r>
    <n v="25"/>
    <x v="24"/>
    <s v="Ahmed Said"/>
    <s v="Giza"/>
    <x v="4"/>
    <n v="2"/>
    <n v="300"/>
    <x v="13"/>
  </r>
  <r>
    <n v="26"/>
    <x v="25"/>
    <s v="Ali Ramadan"/>
    <s v="Domietta"/>
    <x v="7"/>
    <n v="4"/>
    <n v="190"/>
    <x v="19"/>
  </r>
  <r>
    <n v="27"/>
    <x v="26"/>
    <s v="Ashraf Zaki"/>
    <s v="Giza"/>
    <x v="3"/>
    <n v="8"/>
    <n v="8500"/>
    <x v="20"/>
  </r>
  <r>
    <n v="28"/>
    <x v="27"/>
    <s v="Fathy Ali"/>
    <s v="Domietta"/>
    <x v="4"/>
    <n v="3"/>
    <n v="300"/>
    <x v="21"/>
  </r>
  <r>
    <n v="29"/>
    <x v="28"/>
    <s v="Tamer Mohamed"/>
    <s v="Domietta"/>
    <x v="4"/>
    <n v="7"/>
    <n v="300"/>
    <x v="12"/>
  </r>
  <r>
    <n v="30"/>
    <x v="29"/>
    <s v="Khaled Hassan"/>
    <s v="Giza"/>
    <x v="7"/>
    <n v="4"/>
    <n v="190"/>
    <x v="19"/>
  </r>
  <r>
    <n v="31"/>
    <x v="30"/>
    <s v="Ahmed Said"/>
    <s v="Domietta"/>
    <x v="6"/>
    <n v="2"/>
    <n v="450"/>
    <x v="21"/>
  </r>
  <r>
    <n v="32"/>
    <x v="31"/>
    <s v="Ali Ramadan"/>
    <s v="Cairo"/>
    <x v="2"/>
    <n v="3"/>
    <n v="2100"/>
    <x v="22"/>
  </r>
  <r>
    <n v="33"/>
    <x v="32"/>
    <s v="Ashraf Zaki"/>
    <s v="Domietta"/>
    <x v="3"/>
    <n v="2"/>
    <n v="8500"/>
    <x v="23"/>
  </r>
  <r>
    <n v="34"/>
    <x v="33"/>
    <s v="Fathy Ali"/>
    <s v="Giza"/>
    <x v="3"/>
    <n v="8"/>
    <n v="8500"/>
    <x v="20"/>
  </r>
  <r>
    <n v="35"/>
    <x v="34"/>
    <s v="Tamer Mohamed"/>
    <s v="Alexandria"/>
    <x v="0"/>
    <n v="2"/>
    <n v="210"/>
    <x v="3"/>
  </r>
  <r>
    <n v="36"/>
    <x v="35"/>
    <s v="Khaled Hassan"/>
    <s v="Alexandria"/>
    <x v="7"/>
    <n v="2"/>
    <n v="190"/>
    <x v="24"/>
  </r>
  <r>
    <n v="37"/>
    <x v="36"/>
    <s v="Ahmed Said"/>
    <s v="Alexandria"/>
    <x v="3"/>
    <n v="3"/>
    <n v="8500"/>
    <x v="25"/>
  </r>
  <r>
    <n v="38"/>
    <x v="37"/>
    <s v="Ali Ramadan"/>
    <s v="Giza"/>
    <x v="0"/>
    <n v="5"/>
    <n v="210"/>
    <x v="0"/>
  </r>
  <r>
    <n v="39"/>
    <x v="38"/>
    <s v="Ashraf Zaki"/>
    <s v="Domietta"/>
    <x v="2"/>
    <n v="5"/>
    <n v="2100"/>
    <x v="26"/>
  </r>
  <r>
    <n v="40"/>
    <x v="39"/>
    <s v="Fathy Ali"/>
    <s v="Domietta"/>
    <x v="5"/>
    <n v="6"/>
    <n v="1200"/>
    <x v="2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4FEEDC-EEE3-49C4-A2FB-AE1EFBA9B27E}" name="PivotTable3" cacheId="5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E5:E6" firstHeaderRow="1" firstDataRow="1" firstDataCol="0"/>
  <pivotFields count="8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</pivotFields>
  <rowItems count="1">
    <i/>
  </rowItems>
  <colItems count="1">
    <i/>
  </colItems>
  <dataFields count="1">
    <dataField name="AVG SALES" fld="7" subtotal="average" baseField="0" baseItem="0"/>
  </dataFields>
  <formats count="1">
    <format dxfId="36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40" name="Date">
      <autoFilter ref="A1">
        <filterColumn colId="0">
          <customFilters and="1">
            <customFilter operator="greaterThanOrEqual" val="44927"/>
            <customFilter operator="lessThanOrEqual" val="44957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5D8BDC-BD52-413E-910B-58A138F0B6C8}" name="PivotTable2" cacheId="5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C5:C6" firstHeaderRow="1" firstDataRow="1" firstDataCol="0"/>
  <pivotFields count="8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dataField="1"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</pivotFields>
  <rowItems count="1">
    <i/>
  </rowItems>
  <colItems count="1">
    <i/>
  </colItems>
  <dataFields count="1">
    <dataField name="TOTAL ITEM" fld="4" subtotal="count" baseField="0" baseItem="0"/>
  </dataFields>
  <formats count="1">
    <format dxfId="40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33" name="Date">
      <autoFilter ref="A1">
        <filterColumn colId="0">
          <customFilters and="1">
            <customFilter operator="greaterThanOrEqual" val="44927"/>
            <customFilter operator="lessThanOrEqual" val="44957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B74471-1F15-4675-88B3-E79C41D747E2}" name="PivotTable1" cacheId="5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A5:A6" firstHeaderRow="1" firstDataRow="1" firstDataCol="0"/>
  <pivotFields count="8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</pivotFields>
  <rowItems count="1">
    <i/>
  </rowItems>
  <colItems count="1">
    <i/>
  </colItems>
  <dataFields count="1">
    <dataField name="TOTAL SALES" fld="7" baseField="0" baseItem="0"/>
  </dataFields>
  <formats count="1">
    <format dxfId="41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33" name="Date">
      <autoFilter ref="A1">
        <filterColumn colId="0">
          <customFilters and="1">
            <customFilter operator="greaterThanOrEqual" val="44927"/>
            <customFilter operator="lessThanOrEqual" val="44957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5FE5043-C852-44A5-BF97-16E323DBE1F5}" autoFormatId="16" applyNumberFormats="0" applyBorderFormats="0" applyFontFormats="0" applyPatternFormats="0" applyAlignmentFormats="0" applyWidthHeightFormats="0">
  <queryTableRefresh nextId="9">
    <queryTableFields count="8">
      <queryTableField id="1" name="S No" tableColumnId="1"/>
      <queryTableField id="2" name="Date" tableColumnId="2"/>
      <queryTableField id="3" name="Salesman" tableColumnId="3"/>
      <queryTableField id="4" name="Region" tableColumnId="4"/>
      <queryTableField id="5" name="Item" tableColumnId="5"/>
      <queryTableField id="6" name="Qty" tableColumnId="6"/>
      <queryTableField id="7" name="Price" tableColumnId="7"/>
      <queryTableField id="8" name="Amoun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AE5D27C-AE6B-4686-951B-ABFA64A7EEE3}" name="sales" displayName="sales" ref="A1:H41" tableType="queryTable" totalsRowShown="0">
  <autoFilter ref="A1:H41" xr:uid="{DAE5D27C-AE6B-4686-951B-ABFA64A7EEE3}"/>
  <tableColumns count="8">
    <tableColumn id="1" xr3:uid="{60EE4400-F973-4F15-948A-9008563AA622}" uniqueName="1" name="S No" queryTableFieldId="1"/>
    <tableColumn id="2" xr3:uid="{A8629C8B-F662-4D64-94C6-C7B97196A735}" uniqueName="2" name="Date" queryTableFieldId="2" dataDxfId="45"/>
    <tableColumn id="3" xr3:uid="{5C50CE82-4D1A-4C79-9D0F-247FE1CDFA5C}" uniqueName="3" name="Salesman" queryTableFieldId="3" dataDxfId="44"/>
    <tableColumn id="4" xr3:uid="{C594ECD2-D104-43F4-A766-C80694137000}" uniqueName="4" name="Region" queryTableFieldId="4" dataDxfId="43"/>
    <tableColumn id="5" xr3:uid="{4EBFE9AF-2CF8-4086-910A-E4FE148003F0}" uniqueName="5" name="Item" queryTableFieldId="5" dataDxfId="42"/>
    <tableColumn id="6" xr3:uid="{28BA1440-E926-4945-883F-D0FCD7D3BB97}" uniqueName="6" name="Qty" queryTableFieldId="6"/>
    <tableColumn id="7" xr3:uid="{9D812FB1-FCA4-4EB2-8FA6-297FD68B5A88}" uniqueName="7" name="Price" queryTableFieldId="7"/>
    <tableColumn id="8" xr3:uid="{076B1DB5-2FB3-4FA7-8121-F2E26FB13E54}" uniqueName="8" name="Amount" queryTableFieldId="8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7FC4E-8D9E-4A1E-BCC5-B9D37254EE36}">
  <dimension ref="A1"/>
  <sheetViews>
    <sheetView tabSelected="1" workbookViewId="0">
      <selection activeCell="N21" sqref="N21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C905-6944-4F98-B4AE-37BE068CDF30}">
  <dimension ref="A2:E7"/>
  <sheetViews>
    <sheetView workbookViewId="0">
      <selection activeCell="A7" sqref="A7"/>
    </sheetView>
  </sheetViews>
  <sheetFormatPr defaultRowHeight="14.4" x14ac:dyDescent="0.3"/>
  <cols>
    <col min="1" max="1" width="13.33203125" bestFit="1" customWidth="1"/>
    <col min="2" max="2" width="13.5546875" bestFit="1" customWidth="1"/>
    <col min="3" max="3" width="10.33203125" bestFit="1" customWidth="1"/>
    <col min="5" max="5" width="10.109375" bestFit="1" customWidth="1"/>
  </cols>
  <sheetData>
    <row r="2" spans="1:5" x14ac:dyDescent="0.3">
      <c r="A2" s="5" t="s">
        <v>29</v>
      </c>
      <c r="B2" s="5"/>
      <c r="C2" s="5"/>
      <c r="D2" s="5"/>
      <c r="E2" s="5"/>
    </row>
    <row r="5" spans="1:5" x14ac:dyDescent="0.3">
      <c r="A5" t="s">
        <v>26</v>
      </c>
      <c r="C5" t="s">
        <v>27</v>
      </c>
      <c r="E5" t="s">
        <v>28</v>
      </c>
    </row>
    <row r="6" spans="1:5" x14ac:dyDescent="0.3">
      <c r="A6" s="4">
        <v>426530</v>
      </c>
      <c r="C6" s="4">
        <v>40</v>
      </c>
      <c r="E6" s="4">
        <v>10663.25</v>
      </c>
    </row>
    <row r="7" spans="1:5" x14ac:dyDescent="0.3">
      <c r="A7" s="6">
        <v>426530</v>
      </c>
      <c r="C7">
        <f>GETPIVOTDATA("Item",$C$5)</f>
        <v>40</v>
      </c>
      <c r="E7">
        <f>GETPIVOTDATA("Amount",$E$5)</f>
        <v>10663.25</v>
      </c>
    </row>
  </sheetData>
  <mergeCells count="1">
    <mergeCell ref="A2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8A719-9DE1-494C-AEC9-6B8400C82FA6}">
  <dimension ref="A1:H41"/>
  <sheetViews>
    <sheetView topLeftCell="A2" workbookViewId="0">
      <selection activeCell="G15" sqref="G15"/>
    </sheetView>
  </sheetViews>
  <sheetFormatPr defaultRowHeight="14.4" x14ac:dyDescent="0.3"/>
  <cols>
    <col min="1" max="1" width="7" bestFit="1" customWidth="1"/>
    <col min="2" max="2" width="9.33203125" bestFit="1" customWidth="1"/>
    <col min="3" max="3" width="14.5546875" bestFit="1" customWidth="1"/>
    <col min="4" max="4" width="9.44140625" bestFit="1" customWidth="1"/>
    <col min="5" max="5" width="8.44140625" bestFit="1" customWidth="1"/>
    <col min="6" max="6" width="6.109375" bestFit="1" customWidth="1"/>
    <col min="7" max="7" width="7.5546875" bestFit="1" customWidth="1"/>
    <col min="8" max="8" width="9.66406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 s="1">
        <v>44927</v>
      </c>
      <c r="C2" s="3" t="s">
        <v>8</v>
      </c>
      <c r="D2" s="3" t="s">
        <v>9</v>
      </c>
      <c r="E2" s="3" t="s">
        <v>10</v>
      </c>
      <c r="F2">
        <v>5</v>
      </c>
      <c r="G2">
        <v>210</v>
      </c>
      <c r="H2">
        <v>1050</v>
      </c>
    </row>
    <row r="3" spans="1:8" x14ac:dyDescent="0.3">
      <c r="A3">
        <v>2</v>
      </c>
      <c r="B3" s="1">
        <v>44928</v>
      </c>
      <c r="C3" s="3" t="s">
        <v>11</v>
      </c>
      <c r="D3" s="3" t="s">
        <v>12</v>
      </c>
      <c r="E3" s="3" t="s">
        <v>13</v>
      </c>
      <c r="F3">
        <v>3</v>
      </c>
      <c r="G3">
        <v>1500</v>
      </c>
      <c r="H3">
        <v>4500</v>
      </c>
    </row>
    <row r="4" spans="1:8" x14ac:dyDescent="0.3">
      <c r="A4">
        <v>3</v>
      </c>
      <c r="B4" s="1">
        <v>44929</v>
      </c>
      <c r="C4" s="3" t="s">
        <v>14</v>
      </c>
      <c r="D4" s="3" t="s">
        <v>9</v>
      </c>
      <c r="E4" s="3" t="s">
        <v>15</v>
      </c>
      <c r="F4">
        <v>7</v>
      </c>
      <c r="G4">
        <v>2100</v>
      </c>
      <c r="H4">
        <v>14700</v>
      </c>
    </row>
    <row r="5" spans="1:8" x14ac:dyDescent="0.3">
      <c r="A5">
        <v>4</v>
      </c>
      <c r="B5" s="1">
        <v>44930</v>
      </c>
      <c r="C5" s="3" t="s">
        <v>16</v>
      </c>
      <c r="D5" s="3" t="s">
        <v>9</v>
      </c>
      <c r="E5" s="3" t="s">
        <v>10</v>
      </c>
      <c r="F5">
        <v>2</v>
      </c>
      <c r="G5">
        <v>210</v>
      </c>
      <c r="H5">
        <v>420</v>
      </c>
    </row>
    <row r="6" spans="1:8" x14ac:dyDescent="0.3">
      <c r="A6">
        <v>5</v>
      </c>
      <c r="B6" s="1">
        <v>44931</v>
      </c>
      <c r="C6" s="3" t="s">
        <v>17</v>
      </c>
      <c r="D6" s="3" t="s">
        <v>12</v>
      </c>
      <c r="E6" s="3" t="s">
        <v>13</v>
      </c>
      <c r="F6">
        <v>1</v>
      </c>
      <c r="G6">
        <v>1500</v>
      </c>
      <c r="H6">
        <v>1500</v>
      </c>
    </row>
    <row r="7" spans="1:8" x14ac:dyDescent="0.3">
      <c r="A7">
        <v>6</v>
      </c>
      <c r="B7" s="1">
        <v>44932</v>
      </c>
      <c r="C7" s="3" t="s">
        <v>18</v>
      </c>
      <c r="D7" s="3" t="s">
        <v>12</v>
      </c>
      <c r="E7" s="3" t="s">
        <v>19</v>
      </c>
      <c r="F7">
        <v>4</v>
      </c>
      <c r="G7">
        <v>8500</v>
      </c>
      <c r="H7">
        <v>34000</v>
      </c>
    </row>
    <row r="8" spans="1:8" x14ac:dyDescent="0.3">
      <c r="A8">
        <v>7</v>
      </c>
      <c r="B8" s="1">
        <v>44933</v>
      </c>
      <c r="C8" s="3" t="s">
        <v>8</v>
      </c>
      <c r="D8" s="3" t="s">
        <v>20</v>
      </c>
      <c r="E8" s="3" t="s">
        <v>21</v>
      </c>
      <c r="F8">
        <v>1</v>
      </c>
      <c r="G8">
        <v>300</v>
      </c>
      <c r="H8">
        <v>300</v>
      </c>
    </row>
    <row r="9" spans="1:8" x14ac:dyDescent="0.3">
      <c r="A9">
        <v>8</v>
      </c>
      <c r="B9" s="1">
        <v>44934</v>
      </c>
      <c r="C9" s="3" t="s">
        <v>11</v>
      </c>
      <c r="D9" s="3" t="s">
        <v>12</v>
      </c>
      <c r="E9" s="3" t="s">
        <v>19</v>
      </c>
      <c r="F9">
        <v>6</v>
      </c>
      <c r="G9">
        <v>8500</v>
      </c>
      <c r="H9">
        <v>51000</v>
      </c>
    </row>
    <row r="10" spans="1:8" x14ac:dyDescent="0.3">
      <c r="A10">
        <v>9</v>
      </c>
      <c r="B10" s="1">
        <v>44935</v>
      </c>
      <c r="C10" s="3" t="s">
        <v>14</v>
      </c>
      <c r="D10" s="3" t="s">
        <v>22</v>
      </c>
      <c r="E10" s="3" t="s">
        <v>23</v>
      </c>
      <c r="F10">
        <v>4</v>
      </c>
      <c r="G10">
        <v>1200</v>
      </c>
      <c r="H10">
        <v>4800</v>
      </c>
    </row>
    <row r="11" spans="1:8" x14ac:dyDescent="0.3">
      <c r="A11">
        <v>10</v>
      </c>
      <c r="B11" s="1">
        <v>44936</v>
      </c>
      <c r="C11" s="3" t="s">
        <v>16</v>
      </c>
      <c r="D11" s="3" t="s">
        <v>22</v>
      </c>
      <c r="E11" s="3" t="s">
        <v>15</v>
      </c>
      <c r="F11">
        <v>2</v>
      </c>
      <c r="G11">
        <v>2100</v>
      </c>
      <c r="H11">
        <v>4200</v>
      </c>
    </row>
    <row r="12" spans="1:8" x14ac:dyDescent="0.3">
      <c r="A12">
        <v>11</v>
      </c>
      <c r="B12" s="1">
        <v>44937</v>
      </c>
      <c r="C12" s="3" t="s">
        <v>17</v>
      </c>
      <c r="D12" s="3" t="s">
        <v>20</v>
      </c>
      <c r="E12" s="3" t="s">
        <v>15</v>
      </c>
      <c r="F12">
        <v>6</v>
      </c>
      <c r="G12">
        <v>2100</v>
      </c>
      <c r="H12">
        <v>12600</v>
      </c>
    </row>
    <row r="13" spans="1:8" x14ac:dyDescent="0.3">
      <c r="A13">
        <v>12</v>
      </c>
      <c r="B13" s="1">
        <v>44938</v>
      </c>
      <c r="C13" s="3" t="s">
        <v>18</v>
      </c>
      <c r="D13" s="3" t="s">
        <v>22</v>
      </c>
      <c r="E13" s="3" t="s">
        <v>21</v>
      </c>
      <c r="F13">
        <v>1</v>
      </c>
      <c r="G13">
        <v>300</v>
      </c>
      <c r="H13">
        <v>300</v>
      </c>
    </row>
    <row r="14" spans="1:8" x14ac:dyDescent="0.3">
      <c r="A14">
        <v>13</v>
      </c>
      <c r="B14" s="1">
        <v>44939</v>
      </c>
      <c r="C14" s="3" t="s">
        <v>8</v>
      </c>
      <c r="D14" s="3" t="s">
        <v>20</v>
      </c>
      <c r="E14" s="3" t="s">
        <v>15</v>
      </c>
      <c r="F14">
        <v>7</v>
      </c>
      <c r="G14">
        <v>2100</v>
      </c>
      <c r="H14">
        <v>14700</v>
      </c>
    </row>
    <row r="15" spans="1:8" x14ac:dyDescent="0.3">
      <c r="A15">
        <v>14</v>
      </c>
      <c r="B15" s="1">
        <v>44940</v>
      </c>
      <c r="C15" s="3" t="s">
        <v>11</v>
      </c>
      <c r="D15" s="3" t="s">
        <v>9</v>
      </c>
      <c r="E15" s="3" t="s">
        <v>21</v>
      </c>
      <c r="F15">
        <v>6</v>
      </c>
      <c r="G15">
        <v>300</v>
      </c>
      <c r="H15">
        <v>1800</v>
      </c>
    </row>
    <row r="16" spans="1:8" x14ac:dyDescent="0.3">
      <c r="A16">
        <v>15</v>
      </c>
      <c r="B16" s="1">
        <v>44941</v>
      </c>
      <c r="C16" s="3" t="s">
        <v>14</v>
      </c>
      <c r="D16" s="3" t="s">
        <v>12</v>
      </c>
      <c r="E16" s="3" t="s">
        <v>15</v>
      </c>
      <c r="F16">
        <v>1</v>
      </c>
      <c r="G16">
        <v>2100</v>
      </c>
      <c r="H16">
        <v>2100</v>
      </c>
    </row>
    <row r="17" spans="1:8" x14ac:dyDescent="0.3">
      <c r="A17">
        <v>16</v>
      </c>
      <c r="B17" s="1">
        <v>44942</v>
      </c>
      <c r="C17" s="3" t="s">
        <v>16</v>
      </c>
      <c r="D17" s="3" t="s">
        <v>12</v>
      </c>
      <c r="E17" s="3" t="s">
        <v>21</v>
      </c>
      <c r="F17">
        <v>2</v>
      </c>
      <c r="G17">
        <v>300</v>
      </c>
      <c r="H17">
        <v>600</v>
      </c>
    </row>
    <row r="18" spans="1:8" x14ac:dyDescent="0.3">
      <c r="A18">
        <v>17</v>
      </c>
      <c r="B18" s="1">
        <v>44943</v>
      </c>
      <c r="C18" s="3" t="s">
        <v>17</v>
      </c>
      <c r="D18" s="3" t="s">
        <v>12</v>
      </c>
      <c r="E18" s="3" t="s">
        <v>15</v>
      </c>
      <c r="F18">
        <v>7</v>
      </c>
      <c r="G18">
        <v>2100</v>
      </c>
      <c r="H18">
        <v>14700</v>
      </c>
    </row>
    <row r="19" spans="1:8" x14ac:dyDescent="0.3">
      <c r="A19">
        <v>18</v>
      </c>
      <c r="B19" s="1">
        <v>44944</v>
      </c>
      <c r="C19" s="3" t="s">
        <v>18</v>
      </c>
      <c r="D19" s="3" t="s">
        <v>22</v>
      </c>
      <c r="E19" s="3" t="s">
        <v>24</v>
      </c>
      <c r="F19">
        <v>6</v>
      </c>
      <c r="G19">
        <v>450</v>
      </c>
      <c r="H19">
        <v>2700</v>
      </c>
    </row>
    <row r="20" spans="1:8" x14ac:dyDescent="0.3">
      <c r="A20">
        <v>19</v>
      </c>
      <c r="B20" s="1">
        <v>44945</v>
      </c>
      <c r="C20" s="3" t="s">
        <v>8</v>
      </c>
      <c r="D20" s="3" t="s">
        <v>12</v>
      </c>
      <c r="E20" s="3" t="s">
        <v>25</v>
      </c>
      <c r="F20">
        <v>6</v>
      </c>
      <c r="G20">
        <v>190</v>
      </c>
      <c r="H20">
        <v>1140</v>
      </c>
    </row>
    <row r="21" spans="1:8" x14ac:dyDescent="0.3">
      <c r="A21">
        <v>20</v>
      </c>
      <c r="B21" s="1">
        <v>44946</v>
      </c>
      <c r="C21" s="3" t="s">
        <v>11</v>
      </c>
      <c r="D21" s="3" t="s">
        <v>12</v>
      </c>
      <c r="E21" s="3" t="s">
        <v>21</v>
      </c>
      <c r="F21">
        <v>2</v>
      </c>
      <c r="G21">
        <v>300</v>
      </c>
      <c r="H21">
        <v>600</v>
      </c>
    </row>
    <row r="22" spans="1:8" x14ac:dyDescent="0.3">
      <c r="A22">
        <v>21</v>
      </c>
      <c r="B22" s="1">
        <v>44947</v>
      </c>
      <c r="C22" s="3" t="s">
        <v>14</v>
      </c>
      <c r="D22" s="3" t="s">
        <v>12</v>
      </c>
      <c r="E22" s="3" t="s">
        <v>13</v>
      </c>
      <c r="F22">
        <v>3</v>
      </c>
      <c r="G22">
        <v>1500</v>
      </c>
      <c r="H22">
        <v>4500</v>
      </c>
    </row>
    <row r="23" spans="1:8" x14ac:dyDescent="0.3">
      <c r="A23">
        <v>22</v>
      </c>
      <c r="B23" s="1">
        <v>44948</v>
      </c>
      <c r="C23" s="3" t="s">
        <v>16</v>
      </c>
      <c r="D23" s="3" t="s">
        <v>20</v>
      </c>
      <c r="E23" s="3" t="s">
        <v>19</v>
      </c>
      <c r="F23">
        <v>5</v>
      </c>
      <c r="G23">
        <v>8500</v>
      </c>
      <c r="H23">
        <v>42500</v>
      </c>
    </row>
    <row r="24" spans="1:8" x14ac:dyDescent="0.3">
      <c r="A24">
        <v>23</v>
      </c>
      <c r="B24" s="1">
        <v>44949</v>
      </c>
      <c r="C24" s="3" t="s">
        <v>17</v>
      </c>
      <c r="D24" s="3" t="s">
        <v>12</v>
      </c>
      <c r="E24" s="3" t="s">
        <v>25</v>
      </c>
      <c r="F24">
        <v>1</v>
      </c>
      <c r="G24">
        <v>190</v>
      </c>
      <c r="H24">
        <v>190</v>
      </c>
    </row>
    <row r="25" spans="1:8" x14ac:dyDescent="0.3">
      <c r="A25">
        <v>24</v>
      </c>
      <c r="B25" s="1">
        <v>44950</v>
      </c>
      <c r="C25" s="3" t="s">
        <v>18</v>
      </c>
      <c r="D25" s="3" t="s">
        <v>12</v>
      </c>
      <c r="E25" s="3" t="s">
        <v>10</v>
      </c>
      <c r="F25">
        <v>6</v>
      </c>
      <c r="G25">
        <v>210</v>
      </c>
      <c r="H25">
        <v>1260</v>
      </c>
    </row>
    <row r="26" spans="1:8" x14ac:dyDescent="0.3">
      <c r="A26">
        <v>25</v>
      </c>
      <c r="B26" s="1">
        <v>44951</v>
      </c>
      <c r="C26" s="3" t="s">
        <v>8</v>
      </c>
      <c r="D26" s="3" t="s">
        <v>20</v>
      </c>
      <c r="E26" s="3" t="s">
        <v>21</v>
      </c>
      <c r="F26">
        <v>2</v>
      </c>
      <c r="G26">
        <v>300</v>
      </c>
      <c r="H26">
        <v>600</v>
      </c>
    </row>
    <row r="27" spans="1:8" x14ac:dyDescent="0.3">
      <c r="A27">
        <v>26</v>
      </c>
      <c r="B27" s="1">
        <v>44952</v>
      </c>
      <c r="C27" s="3" t="s">
        <v>11</v>
      </c>
      <c r="D27" s="3" t="s">
        <v>12</v>
      </c>
      <c r="E27" s="3" t="s">
        <v>25</v>
      </c>
      <c r="F27">
        <v>4</v>
      </c>
      <c r="G27">
        <v>190</v>
      </c>
      <c r="H27">
        <v>760</v>
      </c>
    </row>
    <row r="28" spans="1:8" x14ac:dyDescent="0.3">
      <c r="A28">
        <v>27</v>
      </c>
      <c r="B28" s="1">
        <v>44953</v>
      </c>
      <c r="C28" s="3" t="s">
        <v>14</v>
      </c>
      <c r="D28" s="3" t="s">
        <v>20</v>
      </c>
      <c r="E28" s="3" t="s">
        <v>19</v>
      </c>
      <c r="F28">
        <v>8</v>
      </c>
      <c r="G28">
        <v>8500</v>
      </c>
      <c r="H28">
        <v>68000</v>
      </c>
    </row>
    <row r="29" spans="1:8" x14ac:dyDescent="0.3">
      <c r="A29">
        <v>28</v>
      </c>
      <c r="B29" s="1">
        <v>44954</v>
      </c>
      <c r="C29" s="3" t="s">
        <v>16</v>
      </c>
      <c r="D29" s="3" t="s">
        <v>12</v>
      </c>
      <c r="E29" s="3" t="s">
        <v>21</v>
      </c>
      <c r="F29">
        <v>3</v>
      </c>
      <c r="G29">
        <v>300</v>
      </c>
      <c r="H29">
        <v>900</v>
      </c>
    </row>
    <row r="30" spans="1:8" x14ac:dyDescent="0.3">
      <c r="A30">
        <v>29</v>
      </c>
      <c r="B30" s="1">
        <v>44955</v>
      </c>
      <c r="C30" s="3" t="s">
        <v>17</v>
      </c>
      <c r="D30" s="3" t="s">
        <v>12</v>
      </c>
      <c r="E30" s="3" t="s">
        <v>21</v>
      </c>
      <c r="F30">
        <v>7</v>
      </c>
      <c r="G30">
        <v>300</v>
      </c>
      <c r="H30">
        <v>2100</v>
      </c>
    </row>
    <row r="31" spans="1:8" x14ac:dyDescent="0.3">
      <c r="A31">
        <v>30</v>
      </c>
      <c r="B31" s="1">
        <v>44956</v>
      </c>
      <c r="C31" s="3" t="s">
        <v>18</v>
      </c>
      <c r="D31" s="3" t="s">
        <v>20</v>
      </c>
      <c r="E31" s="3" t="s">
        <v>25</v>
      </c>
      <c r="F31">
        <v>4</v>
      </c>
      <c r="G31">
        <v>190</v>
      </c>
      <c r="H31">
        <v>760</v>
      </c>
    </row>
    <row r="32" spans="1:8" x14ac:dyDescent="0.3">
      <c r="A32">
        <v>31</v>
      </c>
      <c r="B32" s="1">
        <v>44957</v>
      </c>
      <c r="C32" s="3" t="s">
        <v>8</v>
      </c>
      <c r="D32" s="3" t="s">
        <v>12</v>
      </c>
      <c r="E32" s="3" t="s">
        <v>24</v>
      </c>
      <c r="F32">
        <v>2</v>
      </c>
      <c r="G32">
        <v>450</v>
      </c>
      <c r="H32">
        <v>900</v>
      </c>
    </row>
    <row r="33" spans="1:8" x14ac:dyDescent="0.3">
      <c r="A33">
        <v>32</v>
      </c>
      <c r="B33" s="1">
        <v>44958</v>
      </c>
      <c r="C33" s="3" t="s">
        <v>11</v>
      </c>
      <c r="D33" s="3" t="s">
        <v>9</v>
      </c>
      <c r="E33" s="3" t="s">
        <v>15</v>
      </c>
      <c r="F33">
        <v>3</v>
      </c>
      <c r="G33">
        <v>2100</v>
      </c>
      <c r="H33">
        <v>6300</v>
      </c>
    </row>
    <row r="34" spans="1:8" x14ac:dyDescent="0.3">
      <c r="A34">
        <v>33</v>
      </c>
      <c r="B34" s="1">
        <v>44959</v>
      </c>
      <c r="C34" s="3" t="s">
        <v>14</v>
      </c>
      <c r="D34" s="3" t="s">
        <v>12</v>
      </c>
      <c r="E34" s="3" t="s">
        <v>19</v>
      </c>
      <c r="F34">
        <v>2</v>
      </c>
      <c r="G34">
        <v>8500</v>
      </c>
      <c r="H34">
        <v>17000</v>
      </c>
    </row>
    <row r="35" spans="1:8" x14ac:dyDescent="0.3">
      <c r="A35">
        <v>34</v>
      </c>
      <c r="B35" s="1">
        <v>44960</v>
      </c>
      <c r="C35" s="3" t="s">
        <v>16</v>
      </c>
      <c r="D35" s="3" t="s">
        <v>20</v>
      </c>
      <c r="E35" s="3" t="s">
        <v>19</v>
      </c>
      <c r="F35">
        <v>8</v>
      </c>
      <c r="G35">
        <v>8500</v>
      </c>
      <c r="H35">
        <v>68000</v>
      </c>
    </row>
    <row r="36" spans="1:8" x14ac:dyDescent="0.3">
      <c r="A36">
        <v>35</v>
      </c>
      <c r="B36" s="1">
        <v>44961</v>
      </c>
      <c r="C36" s="3" t="s">
        <v>17</v>
      </c>
      <c r="D36" s="3" t="s">
        <v>22</v>
      </c>
      <c r="E36" s="3" t="s">
        <v>10</v>
      </c>
      <c r="F36">
        <v>2</v>
      </c>
      <c r="G36">
        <v>210</v>
      </c>
      <c r="H36">
        <v>420</v>
      </c>
    </row>
    <row r="37" spans="1:8" x14ac:dyDescent="0.3">
      <c r="A37">
        <v>36</v>
      </c>
      <c r="B37" s="1">
        <v>44962</v>
      </c>
      <c r="C37" s="3" t="s">
        <v>18</v>
      </c>
      <c r="D37" s="3" t="s">
        <v>22</v>
      </c>
      <c r="E37" s="3" t="s">
        <v>25</v>
      </c>
      <c r="F37">
        <v>2</v>
      </c>
      <c r="G37">
        <v>190</v>
      </c>
      <c r="H37">
        <v>380</v>
      </c>
    </row>
    <row r="38" spans="1:8" x14ac:dyDescent="0.3">
      <c r="A38">
        <v>37</v>
      </c>
      <c r="B38" s="1">
        <v>44963</v>
      </c>
      <c r="C38" s="3" t="s">
        <v>8</v>
      </c>
      <c r="D38" s="3" t="s">
        <v>22</v>
      </c>
      <c r="E38" s="3" t="s">
        <v>19</v>
      </c>
      <c r="F38">
        <v>3</v>
      </c>
      <c r="G38">
        <v>8500</v>
      </c>
      <c r="H38">
        <v>25500</v>
      </c>
    </row>
    <row r="39" spans="1:8" x14ac:dyDescent="0.3">
      <c r="A39">
        <v>38</v>
      </c>
      <c r="B39" s="1">
        <v>44964</v>
      </c>
      <c r="C39" s="3" t="s">
        <v>11</v>
      </c>
      <c r="D39" s="3" t="s">
        <v>20</v>
      </c>
      <c r="E39" s="3" t="s">
        <v>10</v>
      </c>
      <c r="F39">
        <v>5</v>
      </c>
      <c r="G39">
        <v>210</v>
      </c>
      <c r="H39">
        <v>1050</v>
      </c>
    </row>
    <row r="40" spans="1:8" x14ac:dyDescent="0.3">
      <c r="A40">
        <v>39</v>
      </c>
      <c r="B40" s="1">
        <v>44965</v>
      </c>
      <c r="C40" s="3" t="s">
        <v>14</v>
      </c>
      <c r="D40" s="3" t="s">
        <v>12</v>
      </c>
      <c r="E40" s="3" t="s">
        <v>15</v>
      </c>
      <c r="F40">
        <v>5</v>
      </c>
      <c r="G40">
        <v>2100</v>
      </c>
      <c r="H40">
        <v>10500</v>
      </c>
    </row>
    <row r="41" spans="1:8" x14ac:dyDescent="0.3">
      <c r="A41">
        <v>40</v>
      </c>
      <c r="B41" s="1">
        <v>44966</v>
      </c>
      <c r="C41" s="3" t="s">
        <v>16</v>
      </c>
      <c r="D41" s="3" t="s">
        <v>12</v>
      </c>
      <c r="E41" s="3" t="s">
        <v>23</v>
      </c>
      <c r="F41">
        <v>6</v>
      </c>
      <c r="G41">
        <v>1200</v>
      </c>
      <c r="H41">
        <v>7200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B5A55-B004-4FDC-90CE-889382A104E7}">
  <dimension ref="A1:H41"/>
  <sheetViews>
    <sheetView topLeftCell="A2" workbookViewId="0">
      <selection activeCell="B26" sqref="B26"/>
    </sheetView>
  </sheetViews>
  <sheetFormatPr defaultRowHeight="14.4" x14ac:dyDescent="0.3"/>
  <cols>
    <col min="2" max="2" width="16.5546875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 s="1">
        <v>44927</v>
      </c>
      <c r="C2" t="s">
        <v>8</v>
      </c>
      <c r="D2" t="s">
        <v>9</v>
      </c>
      <c r="E2" t="s">
        <v>10</v>
      </c>
      <c r="F2">
        <v>5</v>
      </c>
      <c r="G2">
        <v>210</v>
      </c>
      <c r="H2" s="2">
        <v>1050</v>
      </c>
    </row>
    <row r="3" spans="1:8" x14ac:dyDescent="0.3">
      <c r="A3">
        <v>2</v>
      </c>
      <c r="B3" s="1">
        <v>44928</v>
      </c>
      <c r="C3" t="s">
        <v>11</v>
      </c>
      <c r="D3" t="s">
        <v>12</v>
      </c>
      <c r="E3" t="s">
        <v>13</v>
      </c>
      <c r="F3">
        <v>3</v>
      </c>
      <c r="G3" s="2">
        <v>1500</v>
      </c>
      <c r="H3" s="2">
        <v>4500</v>
      </c>
    </row>
    <row r="4" spans="1:8" x14ac:dyDescent="0.3">
      <c r="A4">
        <v>3</v>
      </c>
      <c r="B4" s="1">
        <v>44929</v>
      </c>
      <c r="C4" t="s">
        <v>14</v>
      </c>
      <c r="D4" t="s">
        <v>9</v>
      </c>
      <c r="E4" t="s">
        <v>15</v>
      </c>
      <c r="F4">
        <v>7</v>
      </c>
      <c r="G4" s="2">
        <v>2100</v>
      </c>
      <c r="H4" s="2">
        <v>14700</v>
      </c>
    </row>
    <row r="5" spans="1:8" x14ac:dyDescent="0.3">
      <c r="A5">
        <v>4</v>
      </c>
      <c r="B5" s="1">
        <v>44930</v>
      </c>
      <c r="C5" t="s">
        <v>16</v>
      </c>
      <c r="D5" t="s">
        <v>9</v>
      </c>
      <c r="E5" t="s">
        <v>10</v>
      </c>
      <c r="F5">
        <v>2</v>
      </c>
      <c r="G5">
        <v>210</v>
      </c>
      <c r="H5">
        <v>420</v>
      </c>
    </row>
    <row r="6" spans="1:8" x14ac:dyDescent="0.3">
      <c r="A6">
        <v>5</v>
      </c>
      <c r="B6" s="1">
        <v>44931</v>
      </c>
      <c r="C6" t="s">
        <v>17</v>
      </c>
      <c r="D6" t="s">
        <v>12</v>
      </c>
      <c r="E6" t="s">
        <v>13</v>
      </c>
      <c r="F6">
        <v>1</v>
      </c>
      <c r="G6" s="2">
        <v>1500</v>
      </c>
      <c r="H6" s="2">
        <v>1500</v>
      </c>
    </row>
    <row r="7" spans="1:8" x14ac:dyDescent="0.3">
      <c r="A7">
        <v>6</v>
      </c>
      <c r="B7" s="1">
        <v>44932</v>
      </c>
      <c r="C7" t="s">
        <v>18</v>
      </c>
      <c r="D7" t="s">
        <v>12</v>
      </c>
      <c r="E7" t="s">
        <v>19</v>
      </c>
      <c r="F7">
        <v>4</v>
      </c>
      <c r="G7" s="2">
        <v>8500</v>
      </c>
      <c r="H7" s="2">
        <v>34000</v>
      </c>
    </row>
    <row r="8" spans="1:8" x14ac:dyDescent="0.3">
      <c r="A8">
        <v>7</v>
      </c>
      <c r="B8" s="1">
        <v>44933</v>
      </c>
      <c r="C8" t="s">
        <v>8</v>
      </c>
      <c r="D8" t="s">
        <v>20</v>
      </c>
      <c r="E8" t="s">
        <v>21</v>
      </c>
      <c r="F8">
        <v>1</v>
      </c>
      <c r="G8">
        <v>300</v>
      </c>
      <c r="H8">
        <v>300</v>
      </c>
    </row>
    <row r="9" spans="1:8" x14ac:dyDescent="0.3">
      <c r="A9">
        <v>8</v>
      </c>
      <c r="B9" s="1">
        <v>44934</v>
      </c>
      <c r="C9" t="s">
        <v>11</v>
      </c>
      <c r="D9" t="s">
        <v>12</v>
      </c>
      <c r="E9" t="s">
        <v>19</v>
      </c>
      <c r="F9">
        <v>6</v>
      </c>
      <c r="G9" s="2">
        <v>8500</v>
      </c>
      <c r="H9" s="2">
        <v>51000</v>
      </c>
    </row>
    <row r="10" spans="1:8" x14ac:dyDescent="0.3">
      <c r="A10">
        <v>9</v>
      </c>
      <c r="B10" s="1">
        <v>44935</v>
      </c>
      <c r="C10" t="s">
        <v>14</v>
      </c>
      <c r="D10" t="s">
        <v>22</v>
      </c>
      <c r="E10" t="s">
        <v>23</v>
      </c>
      <c r="F10">
        <v>4</v>
      </c>
      <c r="G10" s="2">
        <v>1200</v>
      </c>
      <c r="H10" s="2">
        <v>4800</v>
      </c>
    </row>
    <row r="11" spans="1:8" x14ac:dyDescent="0.3">
      <c r="A11">
        <v>10</v>
      </c>
      <c r="B11" s="1">
        <v>44936</v>
      </c>
      <c r="C11" t="s">
        <v>16</v>
      </c>
      <c r="D11" t="s">
        <v>22</v>
      </c>
      <c r="E11" t="s">
        <v>15</v>
      </c>
      <c r="F11">
        <v>2</v>
      </c>
      <c r="G11" s="2">
        <v>2100</v>
      </c>
      <c r="H11" s="2">
        <v>4200</v>
      </c>
    </row>
    <row r="12" spans="1:8" x14ac:dyDescent="0.3">
      <c r="A12">
        <v>11</v>
      </c>
      <c r="B12" s="1">
        <v>44937</v>
      </c>
      <c r="C12" t="s">
        <v>17</v>
      </c>
      <c r="D12" t="s">
        <v>20</v>
      </c>
      <c r="E12" t="s">
        <v>15</v>
      </c>
      <c r="F12">
        <v>6</v>
      </c>
      <c r="G12" s="2">
        <v>2100</v>
      </c>
      <c r="H12" s="2">
        <v>12600</v>
      </c>
    </row>
    <row r="13" spans="1:8" x14ac:dyDescent="0.3">
      <c r="A13">
        <v>12</v>
      </c>
      <c r="B13" s="1">
        <v>44938</v>
      </c>
      <c r="C13" t="s">
        <v>18</v>
      </c>
      <c r="D13" t="s">
        <v>22</v>
      </c>
      <c r="E13" t="s">
        <v>21</v>
      </c>
      <c r="F13">
        <v>1</v>
      </c>
      <c r="G13">
        <v>300</v>
      </c>
      <c r="H13">
        <v>300</v>
      </c>
    </row>
    <row r="14" spans="1:8" x14ac:dyDescent="0.3">
      <c r="A14">
        <v>13</v>
      </c>
      <c r="B14" s="1">
        <v>44939</v>
      </c>
      <c r="C14" t="s">
        <v>8</v>
      </c>
      <c r="D14" t="s">
        <v>20</v>
      </c>
      <c r="E14" t="s">
        <v>15</v>
      </c>
      <c r="F14">
        <v>7</v>
      </c>
      <c r="G14" s="2">
        <v>2100</v>
      </c>
      <c r="H14" s="2">
        <v>14700</v>
      </c>
    </row>
    <row r="15" spans="1:8" x14ac:dyDescent="0.3">
      <c r="A15">
        <v>14</v>
      </c>
      <c r="B15" s="1">
        <v>44940</v>
      </c>
      <c r="C15" t="s">
        <v>11</v>
      </c>
      <c r="D15" t="s">
        <v>9</v>
      </c>
      <c r="E15" t="s">
        <v>21</v>
      </c>
      <c r="F15">
        <v>6</v>
      </c>
      <c r="G15">
        <v>300</v>
      </c>
      <c r="H15" s="2">
        <v>1800</v>
      </c>
    </row>
    <row r="16" spans="1:8" x14ac:dyDescent="0.3">
      <c r="A16">
        <v>15</v>
      </c>
      <c r="B16" s="1">
        <v>44941</v>
      </c>
      <c r="C16" t="s">
        <v>14</v>
      </c>
      <c r="D16" t="s">
        <v>12</v>
      </c>
      <c r="E16" t="s">
        <v>15</v>
      </c>
      <c r="F16">
        <v>1</v>
      </c>
      <c r="G16" s="2">
        <v>2100</v>
      </c>
      <c r="H16" s="2">
        <v>2100</v>
      </c>
    </row>
    <row r="17" spans="1:8" x14ac:dyDescent="0.3">
      <c r="A17">
        <v>16</v>
      </c>
      <c r="B17" s="1">
        <v>44942</v>
      </c>
      <c r="C17" t="s">
        <v>16</v>
      </c>
      <c r="D17" t="s">
        <v>12</v>
      </c>
      <c r="E17" t="s">
        <v>21</v>
      </c>
      <c r="F17">
        <v>2</v>
      </c>
      <c r="G17">
        <v>300</v>
      </c>
      <c r="H17">
        <v>600</v>
      </c>
    </row>
    <row r="18" spans="1:8" x14ac:dyDescent="0.3">
      <c r="A18">
        <v>17</v>
      </c>
      <c r="B18" s="1">
        <v>44943</v>
      </c>
      <c r="C18" t="s">
        <v>17</v>
      </c>
      <c r="D18" t="s">
        <v>12</v>
      </c>
      <c r="E18" t="s">
        <v>15</v>
      </c>
      <c r="F18">
        <v>7</v>
      </c>
      <c r="G18" s="2">
        <v>2100</v>
      </c>
      <c r="H18" s="2">
        <v>14700</v>
      </c>
    </row>
    <row r="19" spans="1:8" x14ac:dyDescent="0.3">
      <c r="A19">
        <v>18</v>
      </c>
      <c r="B19" s="1">
        <v>44944</v>
      </c>
      <c r="C19" t="s">
        <v>18</v>
      </c>
      <c r="D19" t="s">
        <v>22</v>
      </c>
      <c r="E19" t="s">
        <v>24</v>
      </c>
      <c r="F19">
        <v>6</v>
      </c>
      <c r="G19">
        <v>450</v>
      </c>
      <c r="H19" s="2">
        <v>2700</v>
      </c>
    </row>
    <row r="20" spans="1:8" x14ac:dyDescent="0.3">
      <c r="A20">
        <v>19</v>
      </c>
      <c r="B20" s="1">
        <v>44945</v>
      </c>
      <c r="C20" t="s">
        <v>8</v>
      </c>
      <c r="D20" t="s">
        <v>12</v>
      </c>
      <c r="E20" t="s">
        <v>25</v>
      </c>
      <c r="F20">
        <v>6</v>
      </c>
      <c r="G20">
        <v>190</v>
      </c>
      <c r="H20" s="2">
        <v>1140</v>
      </c>
    </row>
    <row r="21" spans="1:8" x14ac:dyDescent="0.3">
      <c r="A21">
        <v>20</v>
      </c>
      <c r="B21" s="1">
        <v>44946</v>
      </c>
      <c r="C21" t="s">
        <v>11</v>
      </c>
      <c r="D21" t="s">
        <v>12</v>
      </c>
      <c r="E21" t="s">
        <v>21</v>
      </c>
      <c r="F21">
        <v>2</v>
      </c>
      <c r="G21">
        <v>300</v>
      </c>
      <c r="H21">
        <v>600</v>
      </c>
    </row>
    <row r="22" spans="1:8" x14ac:dyDescent="0.3">
      <c r="A22">
        <v>21</v>
      </c>
      <c r="B22" s="1">
        <v>44947</v>
      </c>
      <c r="C22" t="s">
        <v>14</v>
      </c>
      <c r="D22" t="s">
        <v>12</v>
      </c>
      <c r="E22" t="s">
        <v>13</v>
      </c>
      <c r="F22">
        <v>3</v>
      </c>
      <c r="G22" s="2">
        <v>1500</v>
      </c>
      <c r="H22" s="2">
        <v>4500</v>
      </c>
    </row>
    <row r="23" spans="1:8" x14ac:dyDescent="0.3">
      <c r="A23">
        <v>22</v>
      </c>
      <c r="B23" s="1">
        <v>44948</v>
      </c>
      <c r="C23" t="s">
        <v>16</v>
      </c>
      <c r="D23" t="s">
        <v>20</v>
      </c>
      <c r="E23" t="s">
        <v>19</v>
      </c>
      <c r="F23">
        <v>5</v>
      </c>
      <c r="G23" s="2">
        <v>8500</v>
      </c>
      <c r="H23" s="2">
        <v>42500</v>
      </c>
    </row>
    <row r="24" spans="1:8" x14ac:dyDescent="0.3">
      <c r="A24">
        <v>23</v>
      </c>
      <c r="B24" s="1">
        <v>44949</v>
      </c>
      <c r="C24" t="s">
        <v>17</v>
      </c>
      <c r="D24" t="s">
        <v>12</v>
      </c>
      <c r="E24" t="s">
        <v>25</v>
      </c>
      <c r="F24">
        <v>1</v>
      </c>
      <c r="G24">
        <v>190</v>
      </c>
      <c r="H24">
        <v>190</v>
      </c>
    </row>
    <row r="25" spans="1:8" x14ac:dyDescent="0.3">
      <c r="A25">
        <v>24</v>
      </c>
      <c r="B25" s="1">
        <v>44950</v>
      </c>
      <c r="C25" t="s">
        <v>18</v>
      </c>
      <c r="D25" t="s">
        <v>12</v>
      </c>
      <c r="E25" t="s">
        <v>10</v>
      </c>
      <c r="F25">
        <v>6</v>
      </c>
      <c r="G25">
        <v>210</v>
      </c>
      <c r="H25" s="2">
        <v>1260</v>
      </c>
    </row>
    <row r="26" spans="1:8" x14ac:dyDescent="0.3">
      <c r="A26">
        <v>25</v>
      </c>
      <c r="B26" s="1">
        <v>44951</v>
      </c>
      <c r="C26" t="s">
        <v>8</v>
      </c>
      <c r="D26" t="s">
        <v>20</v>
      </c>
      <c r="E26" t="s">
        <v>21</v>
      </c>
      <c r="F26">
        <v>2</v>
      </c>
      <c r="G26">
        <v>300</v>
      </c>
      <c r="H26">
        <v>600</v>
      </c>
    </row>
    <row r="27" spans="1:8" x14ac:dyDescent="0.3">
      <c r="A27">
        <v>26</v>
      </c>
      <c r="B27" s="1">
        <v>44952</v>
      </c>
      <c r="C27" t="s">
        <v>11</v>
      </c>
      <c r="D27" t="s">
        <v>12</v>
      </c>
      <c r="E27" t="s">
        <v>25</v>
      </c>
      <c r="F27">
        <v>4</v>
      </c>
      <c r="G27">
        <v>190</v>
      </c>
      <c r="H27">
        <v>760</v>
      </c>
    </row>
    <row r="28" spans="1:8" x14ac:dyDescent="0.3">
      <c r="A28">
        <v>27</v>
      </c>
      <c r="B28" s="1">
        <v>44953</v>
      </c>
      <c r="C28" t="s">
        <v>14</v>
      </c>
      <c r="D28" t="s">
        <v>20</v>
      </c>
      <c r="E28" t="s">
        <v>19</v>
      </c>
      <c r="F28">
        <v>8</v>
      </c>
      <c r="G28" s="2">
        <v>8500</v>
      </c>
      <c r="H28" s="2">
        <v>68000</v>
      </c>
    </row>
    <row r="29" spans="1:8" x14ac:dyDescent="0.3">
      <c r="A29">
        <v>28</v>
      </c>
      <c r="B29" s="1">
        <v>44954</v>
      </c>
      <c r="C29" t="s">
        <v>16</v>
      </c>
      <c r="D29" t="s">
        <v>12</v>
      </c>
      <c r="E29" t="s">
        <v>21</v>
      </c>
      <c r="F29">
        <v>3</v>
      </c>
      <c r="G29">
        <v>300</v>
      </c>
      <c r="H29">
        <v>900</v>
      </c>
    </row>
    <row r="30" spans="1:8" x14ac:dyDescent="0.3">
      <c r="A30">
        <v>29</v>
      </c>
      <c r="B30" s="1">
        <v>44955</v>
      </c>
      <c r="C30" t="s">
        <v>17</v>
      </c>
      <c r="D30" t="s">
        <v>12</v>
      </c>
      <c r="E30" t="s">
        <v>21</v>
      </c>
      <c r="F30">
        <v>7</v>
      </c>
      <c r="G30">
        <v>300</v>
      </c>
      <c r="H30" s="2">
        <v>2100</v>
      </c>
    </row>
    <row r="31" spans="1:8" x14ac:dyDescent="0.3">
      <c r="A31">
        <v>30</v>
      </c>
      <c r="B31" s="1">
        <v>44956</v>
      </c>
      <c r="C31" t="s">
        <v>18</v>
      </c>
      <c r="D31" t="s">
        <v>20</v>
      </c>
      <c r="E31" t="s">
        <v>25</v>
      </c>
      <c r="F31">
        <v>4</v>
      </c>
      <c r="G31">
        <v>190</v>
      </c>
      <c r="H31">
        <v>760</v>
      </c>
    </row>
    <row r="32" spans="1:8" x14ac:dyDescent="0.3">
      <c r="A32">
        <v>31</v>
      </c>
      <c r="B32" s="1">
        <v>44957</v>
      </c>
      <c r="C32" t="s">
        <v>8</v>
      </c>
      <c r="D32" t="s">
        <v>12</v>
      </c>
      <c r="E32" t="s">
        <v>24</v>
      </c>
      <c r="F32">
        <v>2</v>
      </c>
      <c r="G32">
        <v>450</v>
      </c>
      <c r="H32">
        <v>900</v>
      </c>
    </row>
    <row r="33" spans="1:8" x14ac:dyDescent="0.3">
      <c r="A33">
        <v>32</v>
      </c>
      <c r="B33" s="1">
        <v>44958</v>
      </c>
      <c r="C33" t="s">
        <v>11</v>
      </c>
      <c r="D33" t="s">
        <v>9</v>
      </c>
      <c r="E33" t="s">
        <v>15</v>
      </c>
      <c r="F33">
        <v>3</v>
      </c>
      <c r="G33" s="2">
        <v>2100</v>
      </c>
      <c r="H33" s="2">
        <v>6300</v>
      </c>
    </row>
    <row r="34" spans="1:8" x14ac:dyDescent="0.3">
      <c r="A34">
        <v>33</v>
      </c>
      <c r="B34" s="1">
        <v>44959</v>
      </c>
      <c r="C34" t="s">
        <v>14</v>
      </c>
      <c r="D34" t="s">
        <v>12</v>
      </c>
      <c r="E34" t="s">
        <v>19</v>
      </c>
      <c r="F34">
        <v>2</v>
      </c>
      <c r="G34" s="2">
        <v>8500</v>
      </c>
      <c r="H34" s="2">
        <v>17000</v>
      </c>
    </row>
    <row r="35" spans="1:8" x14ac:dyDescent="0.3">
      <c r="A35">
        <v>34</v>
      </c>
      <c r="B35" s="1">
        <v>44960</v>
      </c>
      <c r="C35" t="s">
        <v>16</v>
      </c>
      <c r="D35" t="s">
        <v>20</v>
      </c>
      <c r="E35" t="s">
        <v>19</v>
      </c>
      <c r="F35">
        <v>8</v>
      </c>
      <c r="G35" s="2">
        <v>8500</v>
      </c>
      <c r="H35" s="2">
        <v>68000</v>
      </c>
    </row>
    <row r="36" spans="1:8" x14ac:dyDescent="0.3">
      <c r="A36">
        <v>35</v>
      </c>
      <c r="B36" s="1">
        <v>44961</v>
      </c>
      <c r="C36" t="s">
        <v>17</v>
      </c>
      <c r="D36" t="s">
        <v>22</v>
      </c>
      <c r="E36" t="s">
        <v>10</v>
      </c>
      <c r="F36">
        <v>2</v>
      </c>
      <c r="G36">
        <v>210</v>
      </c>
      <c r="H36">
        <v>420</v>
      </c>
    </row>
    <row r="37" spans="1:8" x14ac:dyDescent="0.3">
      <c r="A37">
        <v>36</v>
      </c>
      <c r="B37" s="1">
        <v>44962</v>
      </c>
      <c r="C37" t="s">
        <v>18</v>
      </c>
      <c r="D37" t="s">
        <v>22</v>
      </c>
      <c r="E37" t="s">
        <v>25</v>
      </c>
      <c r="F37">
        <v>2</v>
      </c>
      <c r="G37">
        <v>190</v>
      </c>
      <c r="H37">
        <v>380</v>
      </c>
    </row>
    <row r="38" spans="1:8" x14ac:dyDescent="0.3">
      <c r="A38">
        <v>37</v>
      </c>
      <c r="B38" s="1">
        <v>44963</v>
      </c>
      <c r="C38" t="s">
        <v>8</v>
      </c>
      <c r="D38" t="s">
        <v>22</v>
      </c>
      <c r="E38" t="s">
        <v>19</v>
      </c>
      <c r="F38">
        <v>3</v>
      </c>
      <c r="G38" s="2">
        <v>8500</v>
      </c>
      <c r="H38" s="2">
        <v>25500</v>
      </c>
    </row>
    <row r="39" spans="1:8" x14ac:dyDescent="0.3">
      <c r="A39">
        <v>38</v>
      </c>
      <c r="B39" s="1">
        <v>44964</v>
      </c>
      <c r="C39" t="s">
        <v>11</v>
      </c>
      <c r="D39" t="s">
        <v>20</v>
      </c>
      <c r="E39" t="s">
        <v>10</v>
      </c>
      <c r="F39">
        <v>5</v>
      </c>
      <c r="G39">
        <v>210</v>
      </c>
      <c r="H39" s="2">
        <v>1050</v>
      </c>
    </row>
    <row r="40" spans="1:8" x14ac:dyDescent="0.3">
      <c r="A40">
        <v>39</v>
      </c>
      <c r="B40" s="1">
        <v>44965</v>
      </c>
      <c r="C40" t="s">
        <v>14</v>
      </c>
      <c r="D40" t="s">
        <v>12</v>
      </c>
      <c r="E40" t="s">
        <v>15</v>
      </c>
      <c r="F40">
        <v>5</v>
      </c>
      <c r="G40" s="2">
        <v>2100</v>
      </c>
      <c r="H40" s="2">
        <v>10500</v>
      </c>
    </row>
    <row r="41" spans="1:8" x14ac:dyDescent="0.3">
      <c r="A41">
        <v>40</v>
      </c>
      <c r="B41" s="1">
        <v>44966</v>
      </c>
      <c r="C41" t="s">
        <v>16</v>
      </c>
      <c r="D41" t="s">
        <v>12</v>
      </c>
      <c r="E41" t="s">
        <v>23</v>
      </c>
      <c r="F41">
        <v>6</v>
      </c>
      <c r="G41" s="2">
        <v>1200</v>
      </c>
      <c r="H41" s="2">
        <v>7200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1199F2-4880-4C23-A666-DB6D9DD38A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data analysis</vt:lpstr>
      <vt:lpstr>table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2026-10-14T22:23:16Z</dcterms:created>
  <dcterms:modified xsi:type="dcterms:W3CDTF">2026-10-14T22:44:05Z</dcterms:modified>
</cp:coreProperties>
</file>