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8812050A-AFF7-4739-B474-798EB2756D95}"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 i="3" l="1"/>
  <c r="A7" i="3"/>
  <c r="E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<sst xmlns="http://schemas.openxmlformats.org/spreadsheetml/2006/main" count="287" uniqueCount="35">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</sst>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18">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colors>
    <mruColors>
      <color rgb="FF8A6900"/>
      <color rgb="FFFFECAF"/>
      <color rgb="FFFFDD71"/>
      <color rgb="FFFFDC6D"/>
      <color rgb="FFEEB5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sales</a:t>
            </a:r>
            <a:r>
              <a:rPr lang="en-US" b="1" baseline="0">
                <a:solidFill>
                  <a:schemeClr val="accent1">
                    <a:lumMod val="10000"/>
                  </a:schemeClr>
                </a:solidFill>
              </a:rPr>
              <a:t> by months</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bg2">
                  <a:lumMod val="10000"/>
                </a:schemeClr>
              </a:solidFill>
              <a:round/>
            </a:ln>
            <a:effectLst/>
          </c:spPr>
          <c:marker>
            <c:symbol val="dot"/>
            <c:size val="22"/>
            <c:spPr>
              <a:solidFill>
                <a:schemeClr val="accent1">
                  <a:lumMod val="10000"/>
                </a:schemeClr>
              </a:solidFill>
              <a:ln w="9525">
                <a:solidFill>
                  <a:schemeClr val="accent1"/>
                </a:solidFill>
              </a:ln>
              <a:effectLst/>
            </c:spPr>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marker val="1"/>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19050" cap="flat" cmpd="sng" algn="ctr">
            <a:solidFill>
              <a:schemeClr val="tx1">
                <a:lumMod val="95000"/>
                <a:lumOff val="5000"/>
              </a:schemeClr>
            </a:solidFill>
            <a:prstDash val="dash"/>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min val="1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r>
              <a:rPr lang="en-US" b="1">
                <a:solidFill>
                  <a:schemeClr val="accent1">
                    <a:lumMod val="10000"/>
                  </a:schemeClr>
                </a:solidFill>
              </a:rPr>
              <a:t>amount</a:t>
            </a:r>
            <a:r>
              <a:rPr lang="en-US" b="1" baseline="0">
                <a:solidFill>
                  <a:schemeClr val="accent1">
                    <a:lumMod val="10000"/>
                  </a:schemeClr>
                </a:solidFill>
              </a:rPr>
              <a:t> by region</a:t>
            </a:r>
            <a:endParaRPr lang="en-US" b="1">
              <a:solidFill>
                <a:schemeClr val="accent1">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1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rgbClr val="FFDC6D"/>
          </a:solidFill>
          <a:ln w="19050">
            <a:noFill/>
          </a:ln>
          <a:effectLst/>
        </c:spPr>
        <c:dLbl>
          <c:idx val="0"/>
          <c:layout>
            <c:manualLayout>
              <c:x val="4.0774719673802244E-2"/>
              <c:y val="-9.722222222222223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118FE687-2819-4DEB-9592-D9C8920A626F}" type="CELLRANGE">
                  <a:rPr lang="en-US"/>
                  <a:pPr>
                    <a:defRPr b="1">
                      <a:solidFill>
                        <a:schemeClr val="accent1">
                          <a:lumMod val="10000"/>
                        </a:schemeClr>
                      </a:solidFill>
                    </a:defRPr>
                  </a:pPr>
                  <a:t>[CELLRANGE]</a:t>
                </a:fld>
                <a:r>
                  <a:rPr lang="en-US" baseline="0"/>
                  <a:t>, </a:t>
                </a:r>
                <a:fld id="{ED12DC64-9EEB-4A45-B501-D90E15867279}"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rgbClr val="EEB500"/>
          </a:solidFill>
          <a:ln w="19050">
            <a:noFill/>
          </a:ln>
          <a:effectLst/>
        </c:spPr>
        <c:dLbl>
          <c:idx val="0"/>
          <c:layout>
            <c:manualLayout>
              <c:x val="0.12742099898063192"/>
              <c:y val="-7.870370370370374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5CC88ED6-2779-4F12-9818-188E0200F678}" type="CELLRANGE">
                  <a:rPr lang="en-US"/>
                  <a:pPr>
                    <a:defRPr b="1">
                      <a:solidFill>
                        <a:schemeClr val="accent1">
                          <a:lumMod val="10000"/>
                        </a:schemeClr>
                      </a:solidFill>
                    </a:defRPr>
                  </a:pPr>
                  <a:t>[CELLRANGE]</a:t>
                </a:fld>
                <a:r>
                  <a:rPr lang="en-US" baseline="0"/>
                  <a:t>, </a:t>
                </a:r>
                <a:fld id="{D825C52C-4859-4239-A32D-D07C356C206A}"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rgbClr val="8A6900"/>
          </a:solidFill>
          <a:ln w="19050">
            <a:no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43EEB421-DE47-458C-A076-0842EEDD3B95}" type="CELLRANGE">
                  <a:rPr lang="en-US" baseline="0"/>
                  <a:pPr>
                    <a:defRPr b="1">
                      <a:solidFill>
                        <a:schemeClr val="accent1">
                          <a:lumMod val="10000"/>
                        </a:schemeClr>
                      </a:solidFill>
                    </a:defRPr>
                  </a:pPr>
                  <a:t>[CELLRANGE]</a:t>
                </a:fld>
                <a:r>
                  <a:rPr lang="en-US" baseline="0"/>
                  <a:t>, </a:t>
                </a:r>
                <a:fld id="{487044D8-0337-4544-BEFF-722A6CA889E4}"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rgbClr val="FFECAF"/>
          </a:solidFill>
          <a:ln w="19050">
            <a:noFill/>
          </a:ln>
          <a:effectLst/>
        </c:spPr>
        <c:dLbl>
          <c:idx val="0"/>
          <c:layout>
            <c:manualLayout>
              <c:x val="-9.1743119266055051E-2"/>
              <c:y val="9.72222222222221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fld id="{77C4E1E9-C328-4B52-8D54-C4B8F0C76EC5}" type="CELLRANGE">
                  <a:rPr lang="en-US"/>
                  <a:pPr>
                    <a:defRPr b="1">
                      <a:solidFill>
                        <a:schemeClr val="accent1">
                          <a:lumMod val="10000"/>
                        </a:schemeClr>
                      </a:solidFill>
                    </a:defRPr>
                  </a:pPr>
                  <a:t>[CELLRANGE]</a:t>
                </a:fld>
                <a:r>
                  <a:rPr lang="en-US" baseline="0"/>
                  <a:t>, </a:t>
                </a:r>
                <a:fld id="{C8E53578-0B89-4022-BC29-ED43C2A9BEB2}" type="PERCENTAGE">
                  <a:rPr lang="en-US" baseline="0"/>
                  <a:pPr>
                    <a:defRPr b="1">
                      <a:solidFill>
                        <a:schemeClr val="accent1">
                          <a:lumMod val="10000"/>
                        </a:schemeClr>
                      </a:solidFill>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rgbClr val="FFDC6D"/>
              </a:solidFill>
              <a:ln w="19050">
                <a:noFill/>
              </a:ln>
              <a:effectLst/>
            </c:spPr>
            <c:extLst>
              <c:ext xmlns:c16="http://schemas.microsoft.com/office/drawing/2014/chart" uri="{C3380CC4-5D6E-409C-BE32-E72D297353CC}">
                <c16:uniqueId val="{00000001-176F-40FB-A8D7-950581BCD903}"/>
              </c:ext>
            </c:extLst>
          </c:dPt>
          <c:dPt>
            <c:idx val="1"/>
            <c:bubble3D val="0"/>
            <c:spPr>
              <a:solidFill>
                <a:srgbClr val="EEB500"/>
              </a:solidFill>
              <a:ln w="19050">
                <a:noFill/>
              </a:ln>
              <a:effectLst/>
            </c:spPr>
            <c:extLst>
              <c:ext xmlns:c16="http://schemas.microsoft.com/office/drawing/2014/chart" uri="{C3380CC4-5D6E-409C-BE32-E72D297353CC}">
                <c16:uniqueId val="{00000003-176F-40FB-A8D7-950581BCD903}"/>
              </c:ext>
            </c:extLst>
          </c:dPt>
          <c:dPt>
            <c:idx val="2"/>
            <c:bubble3D val="0"/>
            <c:spPr>
              <a:solidFill>
                <a:srgbClr val="8A6900"/>
              </a:solidFill>
              <a:ln w="19050">
                <a:noFill/>
              </a:ln>
              <a:effectLst/>
            </c:spPr>
            <c:extLst>
              <c:ext xmlns:c16="http://schemas.microsoft.com/office/drawing/2014/chart" uri="{C3380CC4-5D6E-409C-BE32-E72D297353CC}">
                <c16:uniqueId val="{00000005-176F-40FB-A8D7-950581BCD903}"/>
              </c:ext>
            </c:extLst>
          </c:dPt>
          <c:dPt>
            <c:idx val="3"/>
            <c:bubble3D val="0"/>
            <c:spPr>
              <a:solidFill>
                <a:srgbClr val="FFECAF"/>
              </a:solidFill>
              <a:ln w="19050">
                <a:noFill/>
              </a:ln>
              <a:effectLst/>
            </c:spPr>
            <c:extLst>
              <c:ext xmlns:c16="http://schemas.microsoft.com/office/drawing/2014/chart" uri="{C3380CC4-5D6E-409C-BE32-E72D297353CC}">
                <c16:uniqueId val="{00000007-176F-40FB-A8D7-950581BCD903}"/>
              </c:ext>
            </c:extLst>
          </c:dPt>
          <c:dLbls>
            <c:dLbl>
              <c:idx val="0"/>
              <c:layout>
                <c:manualLayout>
                  <c:x val="4.0774719673802244E-2"/>
                  <c:y val="-9.7222222222222238E-2"/>
                </c:manualLayout>
              </c:layout>
              <c:tx>
                <c:rich>
                  <a:bodyPr/>
                  <a:lstStyle/>
                  <a:p>
                    <a:fld id="{118FE687-2819-4DEB-9592-D9C8920A626F}" type="CELLRANGE">
                      <a:rPr lang="en-US"/>
                      <a:pPr/>
                      <a:t>[CELLRANGE]</a:t>
                    </a:fld>
                    <a:r>
                      <a:rPr lang="en-US" baseline="0"/>
                      <a:t>, </a:t>
                    </a:r>
                    <a:fld id="{ED12DC64-9EEB-4A45-B501-D90E15867279}"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dLbl>
              <c:idx val="1"/>
              <c:layout>
                <c:manualLayout>
                  <c:x val="0.12742099898063192"/>
                  <c:y val="-7.8703703703703748E-2"/>
                </c:manualLayout>
              </c:layout>
              <c:tx>
                <c:rich>
                  <a:bodyPr/>
                  <a:lstStyle/>
                  <a:p>
                    <a:fld id="{5CC88ED6-2779-4F12-9818-188E0200F678}" type="CELLRANGE">
                      <a:rPr lang="en-US"/>
                      <a:pPr/>
                      <a:t>[CELLRANGE]</a:t>
                    </a:fld>
                    <a:r>
                      <a:rPr lang="en-US" baseline="0"/>
                      <a:t>, </a:t>
                    </a:r>
                    <a:fld id="{D825C52C-4859-4239-A32D-D07C356C206A}"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76F-40FB-A8D7-950581BCD903}"/>
                </c:ext>
              </c:extLst>
            </c:dLbl>
            <c:dLbl>
              <c:idx val="2"/>
              <c:layout>
                <c:manualLayout>
                  <c:x val="8.1549439347604488E-2"/>
                  <c:y val="0.12037037037037028"/>
                </c:manualLayout>
              </c:layout>
              <c:tx>
                <c:rich>
                  <a:bodyPr/>
                  <a:lstStyle/>
                  <a:p>
                    <a:fld id="{43EEB421-DE47-458C-A076-0842EEDD3B95}" type="CELLRANGE">
                      <a:rPr lang="en-US" baseline="0"/>
                      <a:pPr/>
                      <a:t>[CELLRANGE]</a:t>
                    </a:fld>
                    <a:r>
                      <a:rPr lang="en-US" baseline="0"/>
                      <a:t>, </a:t>
                    </a:r>
                    <a:fld id="{487044D8-0337-4544-BEFF-722A6CA889E4}"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76F-40FB-A8D7-950581BCD903}"/>
                </c:ext>
              </c:extLst>
            </c:dLbl>
            <c:dLbl>
              <c:idx val="3"/>
              <c:layout>
                <c:manualLayout>
                  <c:x val="-9.1743119266055051E-2"/>
                  <c:y val="9.722222222222214E-2"/>
                </c:manualLayout>
              </c:layout>
              <c:tx>
                <c:rich>
                  <a:bodyPr/>
                  <a:lstStyle/>
                  <a:p>
                    <a:fld id="{77C4E1E9-C328-4B52-8D54-C4B8F0C76EC5}" type="CELLRANGE">
                      <a:rPr lang="en-US"/>
                      <a:pPr/>
                      <a:t>[CELLRANGE]</a:t>
                    </a:fld>
                    <a:r>
                      <a:rPr lang="en-US" baseline="0"/>
                      <a:t>, </a:t>
                    </a:r>
                    <a:fld id="{C8E53578-0B89-4022-BC29-ED43C2A9BEB2}"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4"/>
                <c:pt idx="0">
                  <c:v>Alexandria</c:v>
                </c:pt>
                <c:pt idx="1">
                  <c:v>Cairo</c:v>
                </c:pt>
                <c:pt idx="2">
                  <c:v>Domietta</c:v>
                </c:pt>
                <c:pt idx="3">
                  <c:v>Giza</c:v>
                </c:pt>
              </c:strCache>
            </c:strRef>
          </c:cat>
          <c:val>
            <c:numRef>
              <c:f>'data analysis'!$H$21:$H$24</c:f>
              <c:numCache>
                <c:formatCode>General</c:formatCode>
                <c:ptCount val="4"/>
                <c:pt idx="0">
                  <c:v>38300</c:v>
                </c:pt>
                <c:pt idx="1">
                  <c:v>24270</c:v>
                </c:pt>
                <c:pt idx="2">
                  <c:v>155450</c:v>
                </c:pt>
                <c:pt idx="3">
                  <c:v>208510</c:v>
                </c:pt>
              </c:numCache>
            </c:numRef>
          </c:val>
          <c:extLst>
            <c:ext xmlns:c15="http://schemas.microsoft.com/office/drawing/2012/chart" uri="{02D57815-91ED-43cb-92C2-25804820EDAC}">
              <c15:datalabelsRange>
                <c15:f>'data analysis'!$H$21:$H$24</c15:f>
                <c15:dlblRangeCache>
                  <c:ptCount val="4"/>
                  <c:pt idx="0">
                    <c:v>Alexandria</c:v>
                  </c:pt>
                  <c:pt idx="1">
                    <c:v>Cairo</c:v>
                  </c:pt>
                  <c:pt idx="2">
                    <c:v>Domietta</c:v>
                  </c:pt>
                  <c:pt idx="3">
                    <c:v>Giza</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1">
                    <a:lumMod val="10000"/>
                  </a:schemeClr>
                </a:solidFill>
              </a:rPr>
              <a:t>top</a:t>
            </a:r>
            <a:r>
              <a:rPr lang="en-US" b="1" baseline="0">
                <a:solidFill>
                  <a:schemeClr val="accent1">
                    <a:lumMod val="10000"/>
                  </a:schemeClr>
                </a:solidFill>
              </a:rPr>
              <a:t> product by amount</a:t>
            </a:r>
            <a:r>
              <a:rPr lang="en-US" b="1">
                <a:solidFill>
                  <a:schemeClr val="accent1">
                    <a:lumMod val="10000"/>
                  </a:scheme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EEB500"/>
          </a:solidFill>
          <a:ln>
            <a:noFill/>
          </a:ln>
          <a:effectLst/>
        </c:spPr>
      </c:pivotFmt>
      <c:pivotFmt>
        <c:idx val="4"/>
        <c:spPr>
          <a:solidFill>
            <a:srgbClr val="8A6900"/>
          </a:solidFill>
          <a:ln>
            <a:noFill/>
          </a:ln>
          <a:effectLst/>
        </c:spPr>
      </c:pivotFmt>
      <c:pivotFmt>
        <c:idx val="5"/>
        <c:spPr>
          <a:solidFill>
            <a:srgbClr val="FFDC6D"/>
          </a:solidFill>
          <a:ln>
            <a:noFill/>
          </a:ln>
          <a:effectLst/>
        </c:spPr>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Pt>
            <c:idx val="0"/>
            <c:invertIfNegative val="0"/>
            <c:bubble3D val="0"/>
            <c:spPr>
              <a:solidFill>
                <a:srgbClr val="EEB500"/>
              </a:solidFill>
              <a:ln>
                <a:noFill/>
              </a:ln>
              <a:effectLst/>
            </c:spPr>
            <c:extLst>
              <c:ext xmlns:c16="http://schemas.microsoft.com/office/drawing/2014/chart" uri="{C3380CC4-5D6E-409C-BE32-E72D297353CC}">
                <c16:uniqueId val="{00000000-5A75-4B97-9278-D824DAFE0E46}"/>
              </c:ext>
            </c:extLst>
          </c:dPt>
          <c:dPt>
            <c:idx val="1"/>
            <c:invertIfNegative val="0"/>
            <c:bubble3D val="0"/>
            <c:spPr>
              <a:solidFill>
                <a:srgbClr val="8A6900"/>
              </a:solidFill>
              <a:ln>
                <a:noFill/>
              </a:ln>
              <a:effectLst/>
            </c:spPr>
            <c:extLst>
              <c:ext xmlns:c16="http://schemas.microsoft.com/office/drawing/2014/chart" uri="{C3380CC4-5D6E-409C-BE32-E72D297353CC}">
                <c16:uniqueId val="{00000001-5A75-4B97-9278-D824DAFE0E46}"/>
              </c:ext>
            </c:extLst>
          </c:dPt>
          <c:dPt>
            <c:idx val="2"/>
            <c:invertIfNegative val="0"/>
            <c:bubble3D val="0"/>
            <c:spPr>
              <a:solidFill>
                <a:srgbClr val="FFDC6D"/>
              </a:solidFill>
              <a:ln>
                <a:noFill/>
              </a:ln>
              <a:effectLst/>
            </c:spPr>
            <c:extLst>
              <c:ext xmlns:c16="http://schemas.microsoft.com/office/drawing/2014/chart" uri="{C3380CC4-5D6E-409C-BE32-E72D297353CC}">
                <c16:uniqueId val="{00000002-5A75-4B97-9278-D824DAFE0E4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1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15875" cap="flat" cmpd="sng" algn="ctr">
            <a:solidFill>
              <a:schemeClr val="tx1">
                <a:lumMod val="95000"/>
                <a:lumOff val="5000"/>
              </a:schemeClr>
            </a:solidFill>
            <a:round/>
          </a:ln>
          <a:effectLst/>
        </c:spPr>
        <c:txPr>
          <a:bodyPr rot="-60000000" spcFirstLastPara="1" vertOverflow="ellipsis" vert="horz" wrap="square" anchor="ctr" anchorCtr="1"/>
          <a:lstStyle/>
          <a:p>
            <a:pPr>
              <a:defRPr sz="900" b="1" i="0" u="none" strike="noStrike" kern="1200" baseline="0">
                <a:solidFill>
                  <a:schemeClr val="accent1">
                    <a:lumMod val="10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9525" cap="flat" cmpd="sng" algn="ctr">
      <a:solidFill>
        <a:srgbClr val="FFC000"/>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bg2">
                    <a:lumMod val="10000"/>
                  </a:schemeClr>
                </a:solidFill>
                <a:latin typeface="+mn-lt"/>
                <a:ea typeface="+mn-ea"/>
                <a:cs typeface="+mn-cs"/>
              </a:defRPr>
            </a:pPr>
            <a:r>
              <a:rPr lang="en-US" b="1">
                <a:solidFill>
                  <a:schemeClr val="bg2">
                    <a:lumMod val="10000"/>
                  </a:schemeClr>
                </a:solidFill>
              </a:rPr>
              <a:t>top</a:t>
            </a:r>
            <a:r>
              <a:rPr lang="en-US" b="1" baseline="0">
                <a:solidFill>
                  <a:schemeClr val="bg2">
                    <a:lumMod val="10000"/>
                  </a:schemeClr>
                </a:solidFill>
              </a:rPr>
              <a:t> salers</a:t>
            </a:r>
            <a:endParaRPr lang="en-US"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2">
                  <a:lumMod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D71"/>
          </a:solidFill>
          <a:ln>
            <a:noFill/>
          </a:ln>
          <a:effectLst/>
        </c:spPr>
      </c:pivotFmt>
      <c:pivotFmt>
        <c:idx val="4"/>
        <c:spPr>
          <a:solidFill>
            <a:srgbClr val="FFDD71"/>
          </a:solidFill>
          <a:ln>
            <a:noFill/>
          </a:ln>
          <a:effectLst/>
        </c:spPr>
      </c:pivotFmt>
      <c:pivotFmt>
        <c:idx val="5"/>
        <c:spPr>
          <a:solidFill>
            <a:srgbClr val="FFECAF"/>
          </a:solidFill>
          <a:ln>
            <a:noFill/>
          </a:ln>
          <a:effectLst/>
        </c:spPr>
      </c:pivotFmt>
      <c:pivotFmt>
        <c:idx val="6"/>
        <c:spPr>
          <a:solidFill>
            <a:srgbClr val="FFECAF"/>
          </a:solidFill>
          <a:ln>
            <a:noFill/>
          </a:ln>
          <a:effectLst/>
        </c:spPr>
      </c:pivotFmt>
      <c:pivotFmt>
        <c:idx val="7"/>
        <c:spPr>
          <a:solidFill>
            <a:srgbClr val="8A6900"/>
          </a:solidFill>
          <a:ln>
            <a:noFill/>
          </a:ln>
          <a:effectLst/>
        </c:spPr>
      </c:pivotFmt>
      <c:pivotFmt>
        <c:idx val="8"/>
        <c:spPr>
          <a:solidFill>
            <a:srgbClr val="8A6900"/>
          </a:solidFill>
          <a:ln>
            <a:noFill/>
          </a:ln>
          <a:effectLst/>
        </c:spPr>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Pt>
            <c:idx val="0"/>
            <c:invertIfNegative val="0"/>
            <c:bubble3D val="0"/>
            <c:spPr>
              <a:solidFill>
                <a:srgbClr val="8A6900"/>
              </a:solidFill>
              <a:ln>
                <a:noFill/>
              </a:ln>
              <a:effectLst/>
            </c:spPr>
            <c:extLst>
              <c:ext xmlns:c16="http://schemas.microsoft.com/office/drawing/2014/chart" uri="{C3380CC4-5D6E-409C-BE32-E72D297353CC}">
                <c16:uniqueId val="{00000005-42EE-4921-8F4A-7E5156F8A379}"/>
              </c:ext>
            </c:extLst>
          </c:dPt>
          <c:dPt>
            <c:idx val="1"/>
            <c:invertIfNegative val="0"/>
            <c:bubble3D val="0"/>
            <c:spPr>
              <a:solidFill>
                <a:srgbClr val="8A6900"/>
              </a:solidFill>
              <a:ln>
                <a:noFill/>
              </a:ln>
              <a:effectLst/>
            </c:spPr>
            <c:extLst>
              <c:ext xmlns:c16="http://schemas.microsoft.com/office/drawing/2014/chart" uri="{C3380CC4-5D6E-409C-BE32-E72D297353CC}">
                <c16:uniqueId val="{00000004-42EE-4921-8F4A-7E5156F8A379}"/>
              </c:ext>
            </c:extLst>
          </c:dPt>
          <c:dPt>
            <c:idx val="2"/>
            <c:invertIfNegative val="0"/>
            <c:bubble3D val="0"/>
            <c:spPr>
              <a:solidFill>
                <a:srgbClr val="FFECAF"/>
              </a:solidFill>
              <a:ln>
                <a:noFill/>
              </a:ln>
              <a:effectLst/>
            </c:spPr>
            <c:extLst>
              <c:ext xmlns:c16="http://schemas.microsoft.com/office/drawing/2014/chart" uri="{C3380CC4-5D6E-409C-BE32-E72D297353CC}">
                <c16:uniqueId val="{00000003-42EE-4921-8F4A-7E5156F8A379}"/>
              </c:ext>
            </c:extLst>
          </c:dPt>
          <c:dPt>
            <c:idx val="3"/>
            <c:invertIfNegative val="0"/>
            <c:bubble3D val="0"/>
            <c:spPr>
              <a:solidFill>
                <a:srgbClr val="FFECAF"/>
              </a:solidFill>
              <a:ln>
                <a:noFill/>
              </a:ln>
              <a:effectLst/>
            </c:spPr>
            <c:extLst>
              <c:ext xmlns:c16="http://schemas.microsoft.com/office/drawing/2014/chart" uri="{C3380CC4-5D6E-409C-BE32-E72D297353CC}">
                <c16:uniqueId val="{00000002-42EE-4921-8F4A-7E5156F8A379}"/>
              </c:ext>
            </c:extLst>
          </c:dPt>
          <c:dPt>
            <c:idx val="4"/>
            <c:invertIfNegative val="0"/>
            <c:bubble3D val="0"/>
            <c:spPr>
              <a:solidFill>
                <a:srgbClr val="FFDD71"/>
              </a:solidFill>
              <a:ln>
                <a:noFill/>
              </a:ln>
              <a:effectLst/>
            </c:spPr>
            <c:extLst>
              <c:ext xmlns:c16="http://schemas.microsoft.com/office/drawing/2014/chart" uri="{C3380CC4-5D6E-409C-BE32-E72D297353CC}">
                <c16:uniqueId val="{00000001-42EE-4921-8F4A-7E5156F8A379}"/>
              </c:ext>
            </c:extLst>
          </c:dPt>
          <c:dPt>
            <c:idx val="5"/>
            <c:invertIfNegative val="0"/>
            <c:bubble3D val="0"/>
            <c:spPr>
              <a:solidFill>
                <a:srgbClr val="FFDD71"/>
              </a:solidFill>
              <a:ln>
                <a:noFill/>
              </a:ln>
              <a:effectLst/>
            </c:spPr>
            <c:extLst>
              <c:ext xmlns:c16="http://schemas.microsoft.com/office/drawing/2014/chart" uri="{C3380CC4-5D6E-409C-BE32-E72D297353CC}">
                <c16:uniqueId val="{00000000-42EE-4921-8F4A-7E5156F8A37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15875" cap="flat" cmpd="sng" algn="ctr">
            <a:solidFill>
              <a:schemeClr val="tx1">
                <a:lumMod val="95000"/>
                <a:lumOff val="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ap="flat" cmpd="sng" algn="ctr">
      <a:solidFill>
        <a:schemeClr val="tx1">
          <a:lumMod val="15000"/>
          <a:lumOff val="85000"/>
        </a:schemeClr>
      </a:solidFill>
      <a:round/>
    </a:ln>
    <a:effectLst/>
    <a:scene3d>
      <a:camera prst="orthographicFront"/>
      <a:lightRig rig="threePt" dir="t"/>
    </a:scene3d>
    <a:sp3d prstMaterial="matte">
      <a:bevelT w="127000" h="63500"/>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290180</c:v>
                </c:pt>
                <c:pt idx="1">
                  <c:v>136350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analysis'!$H$21:$H$25</c:f>
              <c:strCache>
                <c:ptCount val="4"/>
                <c:pt idx="0">
                  <c:v>Alexandria</c:v>
                </c:pt>
                <c:pt idx="1">
                  <c:v>Cairo</c:v>
                </c:pt>
                <c:pt idx="2">
                  <c:v>Domietta</c:v>
                </c:pt>
                <c:pt idx="3">
                  <c:v>Giza</c:v>
                </c:pt>
              </c:strCache>
            </c:strRef>
          </c:cat>
          <c:val>
            <c:numRef>
              <c:f>'data analysis'!$I$21:$I$25</c:f>
              <c:numCache>
                <c:formatCode>General</c:formatCode>
                <c:ptCount val="4"/>
                <c:pt idx="0">
                  <c:v>38300</c:v>
                </c:pt>
                <c:pt idx="1">
                  <c:v>24270</c:v>
                </c:pt>
                <c:pt idx="2">
                  <c:v>155450</c:v>
                </c:pt>
                <c:pt idx="3">
                  <c:v>208510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Monitor</c:v>
                </c:pt>
              </c:strCache>
            </c:strRef>
          </c:cat>
          <c:val>
            <c:numRef>
              <c:f>'data analysis'!$M$22:$M$25</c:f>
              <c:numCache>
                <c:formatCode>General</c:formatCode>
                <c:ptCount val="3"/>
                <c:pt idx="0">
                  <c:v>306000</c:v>
                </c:pt>
                <c:pt idx="1">
                  <c:v>79800</c:v>
                </c:pt>
                <c:pt idx="2">
                  <c:v>12000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rgbClr val="FFDD71"/>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$426,530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40</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t="100000" r="100000"/>
            </a:path>
            <a:tileRect l="-100000" b="-100000"/>
          </a:gradFill>
          <a:ln w="9525" cmpd="sng">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10663</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xmlns:tsle="http://schemas.microsoft.com/office/drawing/2012/timeslicer">
      <mc:Choice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gradFill flip="none" rotWithShape="1">
          <a:gsLst>
            <a:gs pos="0">
              <a:srgbClr val="EEB500">
                <a:shade val="30000"/>
                <a:satMod val="115000"/>
              </a:srgbClr>
            </a:gs>
            <a:gs pos="50000">
              <a:srgbClr val="EEB500">
                <a:shade val="67500"/>
                <a:satMod val="115000"/>
              </a:srgbClr>
            </a:gs>
            <a:gs pos="100000">
              <a:srgbClr val="EEB500">
                <a:shade val="100000"/>
                <a:satMod val="115000"/>
              </a:srgbClr>
            </a:gs>
          </a:gsLst>
          <a:path path="circle">
            <a:fillToRect t="100000" r="100000"/>
          </a:path>
          <a:tileRect l="-100000" b="-100000"/>
        </a:gradFill>
        <a:ln w="3175">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gradFill flip="none" rotWithShape="1">
          <a:gsLst>
            <a:gs pos="0">
              <a:srgbClr val="FFC000">
                <a:shade val="30000"/>
                <a:satMod val="115000"/>
              </a:srgbClr>
            </a:gs>
            <a:gs pos="50000">
              <a:srgbClr val="FFC000">
                <a:shade val="67500"/>
                <a:satMod val="115000"/>
              </a:srgbClr>
            </a:gs>
            <a:gs pos="100000">
              <a:srgbClr val="FFC000">
                <a:shade val="100000"/>
                <a:satMod val="115000"/>
              </a:srgbClr>
            </a:gs>
          </a:gsLst>
          <a:path path="circle">
            <a:fillToRect l="100000" b="100000"/>
          </a:path>
          <a:tileRect t="-100000" r="-100000"/>
        </a:grad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xmlns:a14="http://schemas.microsoft.com/office/drawing/2010/main">
      <mc:Choice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mlns="">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xmlns:a14="http://schemas.microsoft.com/office/drawing/2010/main">
      <mc:Choice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xmlns:a14="http://schemas.microsoft.com/office/drawing/2010/main">
      <mc:Choice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mlns="">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213360</xdr:colOff>
      <xdr:row>38</xdr:row>
      <xdr:rowOff>66675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1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12">
      <pivotArea outline="0" collapsedLevelsAreSubtotals="1" fieldPosition="0"/>
    </format>
  </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13">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14">
      <pivotArea outline="0" collapsedLevelsAreSubtotals="1" fieldPosition="0"/>
    </format>
  </formats>
  <chartFormats count="11">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2" count="1" selected="0">
            <x v="5"/>
          </reference>
        </references>
      </pivotArea>
    </chartFormat>
    <chartFormat chart="8" format="4">
      <pivotArea type="data" outline="0" fieldPosition="0">
        <references count="2">
          <reference field="4294967294" count="1" selected="0">
            <x v="0"/>
          </reference>
          <reference field="2" count="1" selected="0">
            <x v="4"/>
          </reference>
        </references>
      </pivotArea>
    </chartFormat>
    <chartFormat chart="8" format="5">
      <pivotArea type="data" outline="0" fieldPosition="0">
        <references count="2">
          <reference field="4294967294" count="1" selected="0">
            <x v="0"/>
          </reference>
          <reference field="2" count="1" selected="0">
            <x v="3"/>
          </reference>
        </references>
      </pivotArea>
    </chartFormat>
    <chartFormat chart="8" format="6">
      <pivotArea type="data" outline="0" fieldPosition="0">
        <references count="2">
          <reference field="4294967294" count="1" selected="0">
            <x v="0"/>
          </reference>
          <reference field="2" count="1" selected="0">
            <x v="2"/>
          </reference>
        </references>
      </pivotArea>
    </chartFormat>
    <chartFormat chart="8" format="7">
      <pivotArea type="data" outline="0" fieldPosition="0">
        <references count="2">
          <reference field="4294967294" count="1" selected="0">
            <x v="0"/>
          </reference>
          <reference field="2" count="1" selected="0">
            <x v="1"/>
          </reference>
        </references>
      </pivotArea>
    </chartFormat>
    <chartFormat chart="8" format="8">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filters count="1">
    <filter fld="1" type="dateBetween" evalOrder="-1" id="51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3"/>
    </i>
    <i t="grand">
      <x/>
    </i>
  </rowItems>
  <colItems count="1">
    <i/>
  </colItems>
  <dataFields count="1">
    <dataField name="Sum of Amount" fld="7" baseField="0" baseItem="0"/>
  </dataFields>
  <formats count="1">
    <format dxfId="15">
      <pivotArea outline="0" collapsedLevelsAreSubtotals="1" fieldPosition="0"/>
    </format>
  </formats>
  <chartFormats count="8">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4" count="1" selected="0">
            <x v="2"/>
          </reference>
        </references>
      </pivotArea>
    </chartFormat>
    <chartFormat chart="8" format="4">
      <pivotArea type="data" outline="0" fieldPosition="0">
        <references count="2">
          <reference field="4294967294" count="1" selected="0">
            <x v="0"/>
          </reference>
          <reference field="4" count="1" selected="0">
            <x v="5"/>
          </reference>
        </references>
      </pivotArea>
    </chartFormat>
    <chartFormat chart="8" format="5">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filters count="2">
    <filter fld="1" type="dateBetween" evalOrder="-1" id="511"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16">
      <pivotArea outline="0" collapsedLevelsAreSubtotals="1" fieldPosition="0"/>
    </format>
  </formats>
  <pivotTableStyleInfo name="PivotStyleLight16" showRowHeaders="1" showColHeaders="1" showRowStripes="0" showColStripes="0" showLastColumn="1"/>
  <filters count="1">
    <filter fld="1" type="dateBetween" evalOrder="-1" id="502"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x="3"/>
        <item x="0"/>
        <item x="1"/>
        <item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5">
    <i>
      <x/>
    </i>
    <i>
      <x v="1"/>
    </i>
    <i>
      <x v="2"/>
    </i>
    <i>
      <x v="3"/>
    </i>
    <i t="grand">
      <x/>
    </i>
  </rowItems>
  <colItems count="1">
    <i/>
  </colItems>
  <dataFields count="1">
    <dataField name="Sum of Amount" fld="7" baseField="0" baseItem="0"/>
  </dataFields>
  <formats count="1">
    <format dxfId="17">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50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10"/>
    <tableColumn id="3" xr3:uid="{5C50CE82-4D1A-4C79-9D0F-247FE1CDFA5C}" uniqueName="3" name="Salesman" queryTableFieldId="3" dataDxfId="9"/>
    <tableColumn id="4" xr3:uid="{C594ECD2-D104-43F4-A766-C80694137000}" uniqueName="4" name="Region" queryTableFieldId="4" dataDxfId="8"/>
    <tableColumn id="5" xr3:uid="{4EBFE9AF-2CF8-4086-910A-E4FE148003F0}" uniqueName="5" name="Item" queryTableFieldId="5" dataDxfId="7"/>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workbookViewId="0">
      <selection activeCell="V31" sqref="V31"/>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0.109375"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426530</v>
      </c>
      <c r="C6" s="6">
        <v>40</v>
      </c>
      <c r="E6" s="6">
        <v>10663.25</v>
      </c>
      <c r="H6" s="5" t="s">
        <v>33</v>
      </c>
      <c r="I6" s="6">
        <v>290180</v>
      </c>
    </row>
    <row r="7" spans="1:9" x14ac:dyDescent="0.3">
      <c r="A7" s="7">
        <f>GETPIVOTDATA("Amount",$A$5)</f>
        <v>426530</v>
      </c>
      <c r="C7">
        <f>GETPIVOTDATA("Item",$C$5)</f>
        <v>40</v>
      </c>
      <c r="E7" s="8">
        <f>GETPIVOTDATA("Amount",$E$5)</f>
        <v>10663.25</v>
      </c>
      <c r="H7" s="5" t="s">
        <v>34</v>
      </c>
      <c r="I7" s="6">
        <v>136350</v>
      </c>
    </row>
    <row r="8" spans="1:9" x14ac:dyDescent="0.3">
      <c r="H8" s="5" t="s">
        <v>27</v>
      </c>
      <c r="I8" s="6">
        <v>426530</v>
      </c>
    </row>
    <row r="20" spans="8:13" x14ac:dyDescent="0.3">
      <c r="H20" s="4" t="s">
        <v>26</v>
      </c>
      <c r="I20" t="s">
        <v>28</v>
      </c>
    </row>
    <row r="21" spans="8:13" x14ac:dyDescent="0.3">
      <c r="H21" s="5" t="s">
        <v>22</v>
      </c>
      <c r="I21" s="6">
        <v>38300</v>
      </c>
      <c r="L21" s="4" t="s">
        <v>26</v>
      </c>
      <c r="M21" t="s">
        <v>28</v>
      </c>
    </row>
    <row r="22" spans="8:13" x14ac:dyDescent="0.3">
      <c r="H22" s="5" t="s">
        <v>9</v>
      </c>
      <c r="I22" s="6">
        <v>24270</v>
      </c>
      <c r="L22" s="5" t="s">
        <v>19</v>
      </c>
      <c r="M22" s="6">
        <v>306000</v>
      </c>
    </row>
    <row r="23" spans="8:13" x14ac:dyDescent="0.3">
      <c r="H23" s="5" t="s">
        <v>12</v>
      </c>
      <c r="I23" s="6">
        <v>155450</v>
      </c>
      <c r="L23" s="5" t="s">
        <v>15</v>
      </c>
      <c r="M23" s="6">
        <v>79800</v>
      </c>
    </row>
    <row r="24" spans="8:13" x14ac:dyDescent="0.3">
      <c r="H24" s="5" t="s">
        <v>20</v>
      </c>
      <c r="I24" s="6">
        <v>208510</v>
      </c>
      <c r="L24" s="5" t="s">
        <v>23</v>
      </c>
      <c r="M24" s="6">
        <v>12000</v>
      </c>
    </row>
    <row r="25" spans="8:13" x14ac:dyDescent="0.3">
      <c r="H25" s="5" t="s">
        <v>27</v>
      </c>
      <c r="I25" s="6">
        <v>426530</v>
      </c>
      <c r="L25" s="5" t="s">
        <v>27</v>
      </c>
      <c r="M25" s="6">
        <v>397800</v>
      </c>
    </row>
    <row r="35" spans="8:9" x14ac:dyDescent="0.3">
      <c r="H35" s="4" t="s">
        <v>26</v>
      </c>
      <c r="I35" t="s">
        <v>28</v>
      </c>
    </row>
    <row r="36" spans="8:9" x14ac:dyDescent="0.3">
      <c r="H36" s="5" t="s">
        <v>8</v>
      </c>
      <c r="I36" s="6">
        <v>44190</v>
      </c>
    </row>
    <row r="37" spans="8:9" x14ac:dyDescent="0.3">
      <c r="H37" s="5" t="s">
        <v>11</v>
      </c>
      <c r="I37" s="6">
        <v>66010</v>
      </c>
    </row>
    <row r="38" spans="8:9" x14ac:dyDescent="0.3">
      <c r="H38" s="5" t="s">
        <v>14</v>
      </c>
      <c r="I38" s="6">
        <v>121600</v>
      </c>
    </row>
    <row r="39" spans="8:9" x14ac:dyDescent="0.3">
      <c r="H39" s="5" t="s">
        <v>16</v>
      </c>
      <c r="I39" s="6">
        <v>123820</v>
      </c>
    </row>
    <row r="40" spans="8:9" x14ac:dyDescent="0.3">
      <c r="H40" s="5" t="s">
        <v>18</v>
      </c>
      <c r="I40" s="6">
        <v>39400</v>
      </c>
    </row>
    <row r="41" spans="8:9" x14ac:dyDescent="0.3">
      <c r="H41" s="5" t="s">
        <v>17</v>
      </c>
      <c r="I41" s="6">
        <v>31510</v>
      </c>
    </row>
    <row r="42" spans="8:9" x14ac:dyDescent="0.3">
      <c r="H42" s="5" t="s">
        <v>27</v>
      </c>
      <c r="I42" s="6">
        <v>426530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2026-10-18T22:43:16Z</dcterms:modified>
</cp:coreProperties>
</file>