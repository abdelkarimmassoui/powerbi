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F553045D-E810-473D-B0CB-339C27480249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0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3" l="1"/>
  <c r="E7" i="3"/>
  <c r="A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<sst xmlns="http://schemas.openxmlformats.org/spreadsheetml/2006/main" count="284" uniqueCount="35">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</sst>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164" fontId="0" fillId="2" borderId="0" xfId="1" applyNumberFormat="1" applyFont="1" applyFill="1"/>
    <xf numFmtId="1" fontId="0" fillId="0" borderId="0" xfId="0" applyNumberForma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amount</a:t>
            </a:r>
            <a:r>
              <a:rPr lang="en-US" b="1" baseline="0"/>
              <a:t>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3D42E0B-8A45-4CCB-B02D-A0DFB4F7F7BD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96D0C994-CA52-4852-B82C-391BFBD27A75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DADD7C5-84DF-4EC3-8827-2165CCFCA529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55B8FAB0-B99E-4EF9-8453-8C18423090A6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B2E2026-B939-42EA-9585-A9EEEC2A6433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3A90F22F-0973-4282-89CA-2E0EF2595FEF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7879BDB-044E-4EEB-83CE-49F3A38688C3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A5BE2335-57C0-4106-9977-09BD5705DB33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83D42E0B-8A45-4CCB-B02D-A0DFB4F7F7BD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6D0C994-CA52-4852-B82C-391BFBD27A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6DADD7C5-84DF-4EC3-8827-2165CCFCA529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5B8FAB0-B99E-4EF9-8453-8C18423090A6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CB2E2026-B939-42EA-9585-A9EEEC2A6433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A90F22F-0973-4282-89CA-2E0EF2595FEF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D7879BDB-044E-4EEB-83CE-49F3A38688C3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5BE2335-57C0-4106-9977-09BD5705DB33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prouct by amount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2-4940-A47D-8ADBE66178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salers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FC9-8CDC-48B8A48BD2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7C-4FCC-B56E-32017B38C3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7C-4FCC-B56E-32017B38C3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7C-4FCC-B56E-32017B38C3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7C-4FCC-B56E-32017B38C32B}"/>
              </c:ext>
            </c:extLst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9-4E31-B20D-98DCAA01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C-4C1D-9A65-4CF24BB3E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12" Type="http://schemas.openxmlformats.org/officeDocument/2006/relationships/image" Target="../media/image8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7.png"/><Relationship Id="rId5" Type="http://schemas.openxmlformats.org/officeDocument/2006/relationships/image" Target="../media/image5.png"/><Relationship Id="rId10" Type="http://schemas.openxmlformats.org/officeDocument/2006/relationships/chart" Target="../charts/chart4.xml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$426,530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40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10663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152400</xdr:colOff>
      <xdr:row>9</xdr:row>
      <xdr:rowOff>15240</xdr:rowOff>
    </xdr:from>
    <xdr:to>
      <xdr:col>3</xdr:col>
      <xdr:colOff>502920</xdr:colOff>
      <xdr:row>16</xdr:row>
      <xdr:rowOff>106680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00" y="1661160"/>
              <a:ext cx="156972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38100</xdr:colOff>
      <xdr:row>29</xdr:row>
      <xdr:rowOff>76200</xdr:rowOff>
    </xdr:from>
    <xdr:to>
      <xdr:col>11</xdr:col>
      <xdr:colOff>342900</xdr:colOff>
      <xdr:row>44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C612F3-0F36-4197-8A47-CD0219F78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15240</xdr:colOff>
      <xdr:row>29</xdr:row>
      <xdr:rowOff>91440</xdr:rowOff>
    </xdr:from>
    <xdr:to>
      <xdr:col>16</xdr:col>
      <xdr:colOff>68580</xdr:colOff>
      <xdr:row>44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EC6FF2-97BC-455F-8CC0-C269253454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38100</xdr:colOff>
      <xdr:row>45</xdr:row>
      <xdr:rowOff>114300</xdr:rowOff>
    </xdr:from>
    <xdr:to>
      <xdr:col>16</xdr:col>
      <xdr:colOff>76200</xdr:colOff>
      <xdr:row>52</xdr:row>
      <xdr:rowOff>68580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4D17C806-2F9C-488C-4058-2B82E123FA7C}"/>
            </a:ext>
          </a:extLst>
        </xdr:cNvPr>
        <xdr:cNvSpPr/>
      </xdr:nvSpPr>
      <xdr:spPr>
        <a:xfrm>
          <a:off x="2476500" y="8343900"/>
          <a:ext cx="7353300" cy="1234440"/>
        </a:xfrm>
        <a:prstGeom prst="rect">
          <a:avLst/>
        </a:prstGeom>
        <a:ln w="3175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n>
              <a:noFill/>
            </a:ln>
          </a:endParaRPr>
        </a:p>
      </xdr:txBody>
    </xdr:sp>
    <xdr:clientData/>
  </xdr:twoCellAnchor>
  <xdr:twoCellAnchor editAs="oneCell">
    <xdr:from>
      <xdr:col>4</xdr:col>
      <xdr:colOff>198120</xdr:colOff>
      <xdr:row>46</xdr:row>
      <xdr:rowOff>106680</xdr:rowOff>
    </xdr:from>
    <xdr:to>
      <xdr:col>5</xdr:col>
      <xdr:colOff>502920</xdr:colOff>
      <xdr:row>51</xdr:row>
      <xdr:rowOff>106680</xdr:rowOff>
    </xdr:to>
    <xdr:pic>
      <xdr:nvPicPr>
        <xdr:cNvPr id="19" name="Graphic 18" descr="Lightbulb and gear with solid fill">
          <a:extLst>
            <a:ext uri="{FF2B5EF4-FFF2-40B4-BE49-F238E27FC236}">
              <a16:creationId xmlns:a16="http://schemas.microsoft.com/office/drawing/2014/main" id="{D94E066D-C47F-3015-75A2-57D38C287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636520" y="8519160"/>
          <a:ext cx="914400" cy="914400"/>
        </a:xfrm>
        <a:prstGeom prst="rect">
          <a:avLst/>
        </a:prstGeom>
      </xdr:spPr>
    </xdr:pic>
    <xdr:clientData/>
  </xdr:twoCellAnchor>
  <xdr:twoCellAnchor>
    <xdr:from>
      <xdr:col>6</xdr:col>
      <xdr:colOff>30480</xdr:colOff>
      <xdr:row>47</xdr:row>
      <xdr:rowOff>54483</xdr:rowOff>
    </xdr:from>
    <xdr:to>
      <xdr:col>11</xdr:col>
      <xdr:colOff>182880</xdr:colOff>
      <xdr:row>50</xdr:row>
      <xdr:rowOff>151257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68916E5-0F31-43B1-872B-A649CF3220A8}"/>
            </a:ext>
          </a:extLst>
        </xdr:cNvPr>
        <xdr:cNvSpPr txBox="1"/>
      </xdr:nvSpPr>
      <xdr:spPr>
        <a:xfrm>
          <a:off x="3688080" y="8649843"/>
          <a:ext cx="3200400" cy="6454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400" b="1"/>
            <a:t>top</a:t>
          </a:r>
          <a:r>
            <a:rPr lang="en-US" sz="1400" b="1" baseline="0"/>
            <a:t> sales in jan , top region giza 49% , top product laptop and top salers fathy ali</a:t>
          </a:r>
          <a:endParaRPr lang="en-US" sz="1400" b="1"/>
        </a:p>
      </xdr:txBody>
    </xdr:sp>
    <xdr:clientData/>
  </xdr:twoCellAnchor>
  <xdr:twoCellAnchor>
    <xdr:from>
      <xdr:col>4</xdr:col>
      <xdr:colOff>7620</xdr:colOff>
      <xdr:row>3</xdr:row>
      <xdr:rowOff>22860</xdr:rowOff>
    </xdr:from>
    <xdr:to>
      <xdr:col>16</xdr:col>
      <xdr:colOff>45720</xdr:colOff>
      <xdr:row>8</xdr:row>
      <xdr:rowOff>22860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3B560833-67C2-13CC-D04C-E3F448C40528}"/>
            </a:ext>
          </a:extLst>
        </xdr:cNvPr>
        <xdr:cNvSpPr/>
      </xdr:nvSpPr>
      <xdr:spPr>
        <a:xfrm>
          <a:off x="2446020" y="571500"/>
          <a:ext cx="7353300" cy="914400"/>
        </a:xfrm>
        <a:prstGeom prst="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510540</xdr:colOff>
      <xdr:row>4</xdr:row>
      <xdr:rowOff>60960</xdr:rowOff>
    </xdr:from>
    <xdr:to>
      <xdr:col>14</xdr:col>
      <xdr:colOff>152400</xdr:colOff>
      <xdr:row>6</xdr:row>
      <xdr:rowOff>167640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3753C7B1-CF36-F2D1-BB84-10E5E4D605FC}"/>
            </a:ext>
          </a:extLst>
        </xdr:cNvPr>
        <xdr:cNvSpPr txBox="1"/>
      </xdr:nvSpPr>
      <xdr:spPr>
        <a:xfrm>
          <a:off x="3558540" y="792480"/>
          <a:ext cx="5128260" cy="4724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800" b="1"/>
            <a:t>DATA</a:t>
          </a:r>
          <a:r>
            <a:rPr lang="en-US" sz="1800" b="1" baseline="0"/>
            <a:t> ANALYSIS PROFIT COMPANY LILA</a:t>
          </a:r>
          <a:endParaRPr lang="en-US" sz="1800" b="1"/>
        </a:p>
      </xdr:txBody>
    </xdr:sp>
    <xdr:clientData/>
  </xdr:twoCellAnchor>
  <xdr:twoCellAnchor>
    <xdr:from>
      <xdr:col>1</xdr:col>
      <xdr:colOff>504286</xdr:colOff>
      <xdr:row>4</xdr:row>
      <xdr:rowOff>95250</xdr:rowOff>
    </xdr:from>
    <xdr:to>
      <xdr:col>2</xdr:col>
      <xdr:colOff>443326</xdr:colOff>
      <xdr:row>7</xdr:row>
      <xdr:rowOff>19576</xdr:rowOff>
    </xdr:to>
    <xdr:sp macro="" textlink="">
      <xdr:nvSpPr>
        <xdr:cNvPr id="20" name="Isosceles Triangle 19">
          <a:extLst>
            <a:ext uri="{FF2B5EF4-FFF2-40B4-BE49-F238E27FC236}">
              <a16:creationId xmlns:a16="http://schemas.microsoft.com/office/drawing/2014/main" id="{8F71B7DE-7CBE-35D6-FAA7-C3713339BD34}"/>
            </a:ext>
          </a:extLst>
        </xdr:cNvPr>
        <xdr:cNvSpPr/>
      </xdr:nvSpPr>
      <xdr:spPr>
        <a:xfrm>
          <a:off x="1113886" y="826770"/>
          <a:ext cx="548640" cy="472966"/>
        </a:xfrm>
        <a:prstGeom prst="triangle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</xdr:col>
      <xdr:colOff>393116</xdr:colOff>
      <xdr:row>4</xdr:row>
      <xdr:rowOff>129017</xdr:rowOff>
    </xdr:from>
    <xdr:ext cx="770981" cy="405432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80CBCA1-673B-B494-E9B4-9093821B64F8}"/>
            </a:ext>
          </a:extLst>
        </xdr:cNvPr>
        <xdr:cNvSpPr txBox="1"/>
      </xdr:nvSpPr>
      <xdr:spPr>
        <a:xfrm>
          <a:off x="1002716" y="860537"/>
          <a:ext cx="77098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sz="2000" b="1"/>
            <a:t>L</a:t>
          </a:r>
          <a:r>
            <a:rPr lang="en-US" sz="2000" b="1" baseline="0"/>
            <a:t> I L A</a:t>
          </a:r>
          <a:endParaRPr lang="en-US" sz="2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411480</xdr:colOff>
      <xdr:row>7</xdr:row>
      <xdr:rowOff>60960</xdr:rowOff>
    </xdr:from>
    <xdr:to>
      <xdr:col>16</xdr:col>
      <xdr:colOff>152400</xdr:colOff>
      <xdr:row>22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ADD22A-C8F5-BBAA-D014-FD7AE6C57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83820</xdr:colOff>
      <xdr:row>22</xdr:row>
      <xdr:rowOff>30480</xdr:rowOff>
    </xdr:from>
    <xdr:to>
      <xdr:col>10</xdr:col>
      <xdr:colOff>350520</xdr:colOff>
      <xdr:row>37</xdr:row>
      <xdr:rowOff>30480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49F7B4A-9521-5BE4-7582-2081B0F71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x v="0"/>
    <x v="0"/>
    <x v="0"/>
    <n v="5"/>
    <n v="210"/>
    <x v="0"/>
  </r>
  <r>
    <n v="2"/>
    <x v="1"/>
    <x v="1"/>
    <x v="1"/>
    <x v="1"/>
    <n v="3"/>
    <n v="1500"/>
    <x v="1"/>
  </r>
  <r>
    <n v="3"/>
    <x v="2"/>
    <x v="2"/>
    <x v="0"/>
    <x v="2"/>
    <n v="7"/>
    <n v="2100"/>
    <x v="2"/>
  </r>
  <r>
    <n v="4"/>
    <x v="3"/>
    <x v="3"/>
    <x v="0"/>
    <x v="0"/>
    <n v="2"/>
    <n v="210"/>
    <x v="3"/>
  </r>
  <r>
    <n v="5"/>
    <x v="4"/>
    <x v="4"/>
    <x v="1"/>
    <x v="1"/>
    <n v="1"/>
    <n v="1500"/>
    <x v="4"/>
  </r>
  <r>
    <n v="6"/>
    <x v="5"/>
    <x v="5"/>
    <x v="1"/>
    <x v="3"/>
    <n v="4"/>
    <n v="8500"/>
    <x v="5"/>
  </r>
  <r>
    <n v="7"/>
    <x v="6"/>
    <x v="0"/>
    <x v="2"/>
    <x v="4"/>
    <n v="1"/>
    <n v="300"/>
    <x v="6"/>
  </r>
  <r>
    <n v="8"/>
    <x v="7"/>
    <x v="1"/>
    <x v="1"/>
    <x v="3"/>
    <n v="6"/>
    <n v="8500"/>
    <x v="7"/>
  </r>
  <r>
    <n v="9"/>
    <x v="8"/>
    <x v="2"/>
    <x v="3"/>
    <x v="5"/>
    <n v="4"/>
    <n v="1200"/>
    <x v="8"/>
  </r>
  <r>
    <n v="10"/>
    <x v="9"/>
    <x v="3"/>
    <x v="3"/>
    <x v="2"/>
    <n v="2"/>
    <n v="2100"/>
    <x v="9"/>
  </r>
  <r>
    <n v="11"/>
    <x v="10"/>
    <x v="4"/>
    <x v="2"/>
    <x v="2"/>
    <n v="6"/>
    <n v="2100"/>
    <x v="10"/>
  </r>
  <r>
    <n v="12"/>
    <x v="11"/>
    <x v="5"/>
    <x v="3"/>
    <x v="4"/>
    <n v="1"/>
    <n v="300"/>
    <x v="6"/>
  </r>
  <r>
    <n v="13"/>
    <x v="12"/>
    <x v="0"/>
    <x v="2"/>
    <x v="2"/>
    <n v="7"/>
    <n v="2100"/>
    <x v="2"/>
  </r>
  <r>
    <n v="14"/>
    <x v="13"/>
    <x v="1"/>
    <x v="0"/>
    <x v="4"/>
    <n v="6"/>
    <n v="300"/>
    <x v="11"/>
  </r>
  <r>
    <n v="15"/>
    <x v="14"/>
    <x v="2"/>
    <x v="1"/>
    <x v="2"/>
    <n v="1"/>
    <n v="2100"/>
    <x v="12"/>
  </r>
  <r>
    <n v="16"/>
    <x v="15"/>
    <x v="3"/>
    <x v="1"/>
    <x v="4"/>
    <n v="2"/>
    <n v="300"/>
    <x v="13"/>
  </r>
  <r>
    <n v="17"/>
    <x v="16"/>
    <x v="4"/>
    <x v="1"/>
    <x v="2"/>
    <n v="7"/>
    <n v="2100"/>
    <x v="2"/>
  </r>
  <r>
    <n v="18"/>
    <x v="17"/>
    <x v="5"/>
    <x v="3"/>
    <x v="6"/>
    <n v="6"/>
    <n v="450"/>
    <x v="14"/>
  </r>
  <r>
    <n v="19"/>
    <x v="18"/>
    <x v="0"/>
    <x v="1"/>
    <x v="7"/>
    <n v="6"/>
    <n v="190"/>
    <x v="15"/>
  </r>
  <r>
    <n v="20"/>
    <x v="19"/>
    <x v="1"/>
    <x v="1"/>
    <x v="4"/>
    <n v="2"/>
    <n v="300"/>
    <x v="13"/>
  </r>
  <r>
    <n v="21"/>
    <x v="20"/>
    <x v="2"/>
    <x v="1"/>
    <x v="1"/>
    <n v="3"/>
    <n v="1500"/>
    <x v="1"/>
  </r>
  <r>
    <n v="22"/>
    <x v="21"/>
    <x v="3"/>
    <x v="2"/>
    <x v="3"/>
    <n v="5"/>
    <n v="8500"/>
    <x v="16"/>
  </r>
  <r>
    <n v="23"/>
    <x v="22"/>
    <x v="4"/>
    <x v="1"/>
    <x v="7"/>
    <n v="1"/>
    <n v="190"/>
    <x v="17"/>
  </r>
  <r>
    <n v="24"/>
    <x v="23"/>
    <x v="5"/>
    <x v="1"/>
    <x v="0"/>
    <n v="6"/>
    <n v="210"/>
    <x v="18"/>
  </r>
  <r>
    <n v="25"/>
    <x v="24"/>
    <x v="0"/>
    <x v="2"/>
    <x v="4"/>
    <n v="2"/>
    <n v="300"/>
    <x v="13"/>
  </r>
  <r>
    <n v="26"/>
    <x v="25"/>
    <x v="1"/>
    <x v="1"/>
    <x v="7"/>
    <n v="4"/>
    <n v="190"/>
    <x v="19"/>
  </r>
  <r>
    <n v="27"/>
    <x v="26"/>
    <x v="2"/>
    <x v="2"/>
    <x v="3"/>
    <n v="8"/>
    <n v="8500"/>
    <x v="20"/>
  </r>
  <r>
    <n v="28"/>
    <x v="27"/>
    <x v="3"/>
    <x v="1"/>
    <x v="4"/>
    <n v="3"/>
    <n v="300"/>
    <x v="21"/>
  </r>
  <r>
    <n v="29"/>
    <x v="28"/>
    <x v="4"/>
    <x v="1"/>
    <x v="4"/>
    <n v="7"/>
    <n v="300"/>
    <x v="12"/>
  </r>
  <r>
    <n v="30"/>
    <x v="29"/>
    <x v="5"/>
    <x v="2"/>
    <x v="7"/>
    <n v="4"/>
    <n v="190"/>
    <x v="19"/>
  </r>
  <r>
    <n v="31"/>
    <x v="30"/>
    <x v="0"/>
    <x v="1"/>
    <x v="6"/>
    <n v="2"/>
    <n v="450"/>
    <x v="21"/>
  </r>
  <r>
    <n v="32"/>
    <x v="31"/>
    <x v="1"/>
    <x v="0"/>
    <x v="2"/>
    <n v="3"/>
    <n v="2100"/>
    <x v="22"/>
  </r>
  <r>
    <n v="33"/>
    <x v="32"/>
    <x v="2"/>
    <x v="1"/>
    <x v="3"/>
    <n v="2"/>
    <n v="8500"/>
    <x v="23"/>
  </r>
  <r>
    <n v="34"/>
    <x v="33"/>
    <x v="3"/>
    <x v="2"/>
    <x v="3"/>
    <n v="8"/>
    <n v="8500"/>
    <x v="20"/>
  </r>
  <r>
    <n v="35"/>
    <x v="34"/>
    <x v="4"/>
    <x v="3"/>
    <x v="0"/>
    <n v="2"/>
    <n v="210"/>
    <x v="3"/>
  </r>
  <r>
    <n v="36"/>
    <x v="35"/>
    <x v="5"/>
    <x v="3"/>
    <x v="7"/>
    <n v="2"/>
    <n v="190"/>
    <x v="24"/>
  </r>
  <r>
    <n v="37"/>
    <x v="36"/>
    <x v="0"/>
    <x v="3"/>
    <x v="3"/>
    <n v="3"/>
    <n v="8500"/>
    <x v="25"/>
  </r>
  <r>
    <n v="38"/>
    <x v="37"/>
    <x v="1"/>
    <x v="2"/>
    <x v="0"/>
    <n v="5"/>
    <n v="210"/>
    <x v="0"/>
  </r>
  <r>
    <n v="39"/>
    <x v="38"/>
    <x v="2"/>
    <x v="1"/>
    <x v="2"/>
    <n v="5"/>
    <n v="2100"/>
    <x v="26"/>
  </r>
  <r>
    <n v="40"/>
    <x v="39"/>
    <x v="3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24B9DB-16A8-46B5-A956-2588C79515CB}" name="PivotTable7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H35:I39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 measureFilter="1" sortType="ascending">
      <items count="7">
        <item x="0"/>
        <item x="1"/>
        <item x="2"/>
        <item x="3"/>
        <item x="5"/>
        <item x="4"/>
        <item t="default"/>
      </items>
    </pivotField>
    <pivotField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4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8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2" type="count" evalOrder="-1" id="318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77406-EF9D-40FA-8C1C-85593D1E9337}" name="PivotTable4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L21:M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>
      <items count="5">
        <item x="3"/>
        <item x="0"/>
        <item x="1"/>
        <item x="2"/>
        <item t="default"/>
      </items>
    </pivotField>
    <pivotField axis="axisRow" showAll="0" measureFilter="1" sortType="descending">
      <items count="9">
        <item x="6"/>
        <item x="7"/>
        <item x="3"/>
        <item x="5"/>
        <item x="0"/>
        <item x="2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4">
    <i>
      <x v="2"/>
    </i>
    <i>
      <x v="5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5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9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4" type="count" evalOrder="-1" id="26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6">
      <pivotArea outline="0" collapsedLevelsAreSubtotals="1" fieldPosition="0"/>
    </format>
  </formats>
  <chartFormats count="1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8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Amount" fld="7" baseField="0" baseItem="0"/>
  </dataFields>
  <formats count="1">
    <format dxfId="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3"/>
    <tableColumn id="3" xr3:uid="{5C50CE82-4D1A-4C79-9D0F-247FE1CDFA5C}" uniqueName="3" name="Salesman" queryTableFieldId="3" dataDxfId="2"/>
    <tableColumn id="4" xr3:uid="{C594ECD2-D104-43F4-A766-C80694137000}" uniqueName="4" name="Region" queryTableFieldId="4" dataDxfId="1"/>
    <tableColumn id="5" xr3:uid="{4EBFE9AF-2CF8-4086-910A-E4FE148003F0}" uniqueName="5" name="Item" queryTableFieldId="5" dataDxfId="0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  <pivotTable tabId="3" name="PivotTable4"/>
    <pivotTable tabId="3" name="PivotTable7"/>
  </pivotTables>
  <state minimalRefreshVersion="6" lastRefreshVersion="6" pivotCacheId="548194542" filterType="dateBetween">
    <selection startDate="2023-01-01T00:00:00" endDate="2023-02-28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workbookViewId="0">
      <selection activeCell="U14" sqref="U14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M39"/>
  <sheetViews>
    <sheetView topLeftCell="A17" workbookViewId="0">
      <selection activeCell="B46" sqref="B46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0.109375" bestFit="1" customWidth="1"/>
    <col min="8" max="8" width="12.44140625" bestFit="1" customWidth="1"/>
    <col min="9" max="9" width="13.5546875" bestFit="1" customWidth="1"/>
    <col min="12" max="12" width="12.44140625" bestFit="1" customWidth="1"/>
    <col min="13" max="13" width="13.5546875" bestFit="1" customWidth="1"/>
  </cols>
  <sheetData>
    <row r="2" spans="1:9" x14ac:dyDescent="0.3">
      <c r="A2" s="9" t="s">
        <v>32</v>
      </c>
      <c r="B2" s="9"/>
      <c r="C2" s="9"/>
      <c r="D2" s="9"/>
      <c r="E2" s="9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426530</v>
      </c>
      <c r="C6" s="6">
        <v>40</v>
      </c>
      <c r="E6" s="6">
        <v>10663.25</v>
      </c>
      <c r="H6" s="5" t="s">
        <v>33</v>
      </c>
      <c r="I6" s="6">
        <v>290180</v>
      </c>
    </row>
    <row r="7" spans="1:9" x14ac:dyDescent="0.3">
      <c r="A7" s="7">
        <f>GETPIVOTDATA("Amount",$A$5)</f>
        <v>426530</v>
      </c>
      <c r="C7">
        <f>GETPIVOTDATA("Item",$C$5)</f>
        <v>40</v>
      </c>
      <c r="E7" s="8">
        <f>GETPIVOTDATA("Amount",$E$5)</f>
        <v>10663.25</v>
      </c>
      <c r="H7" s="5" t="s">
        <v>34</v>
      </c>
      <c r="I7" s="6">
        <v>136350</v>
      </c>
    </row>
    <row r="8" spans="1:9" x14ac:dyDescent="0.3">
      <c r="H8" s="5" t="s">
        <v>27</v>
      </c>
      <c r="I8" s="6">
        <v>426530</v>
      </c>
    </row>
    <row r="20" spans="8:13" x14ac:dyDescent="0.3">
      <c r="H20" s="4" t="s">
        <v>26</v>
      </c>
      <c r="I20" t="s">
        <v>28</v>
      </c>
    </row>
    <row r="21" spans="8:13" x14ac:dyDescent="0.3">
      <c r="H21" s="5" t="s">
        <v>22</v>
      </c>
      <c r="I21" s="6">
        <v>38300</v>
      </c>
      <c r="L21" s="4" t="s">
        <v>26</v>
      </c>
      <c r="M21" t="s">
        <v>28</v>
      </c>
    </row>
    <row r="22" spans="8:13" x14ac:dyDescent="0.3">
      <c r="H22" s="5" t="s">
        <v>9</v>
      </c>
      <c r="I22" s="6">
        <v>24270</v>
      </c>
      <c r="L22" s="5" t="s">
        <v>19</v>
      </c>
      <c r="M22" s="6">
        <v>306000</v>
      </c>
    </row>
    <row r="23" spans="8:13" x14ac:dyDescent="0.3">
      <c r="H23" s="5" t="s">
        <v>12</v>
      </c>
      <c r="I23" s="6">
        <v>155450</v>
      </c>
      <c r="L23" s="5" t="s">
        <v>15</v>
      </c>
      <c r="M23" s="6">
        <v>79800</v>
      </c>
    </row>
    <row r="24" spans="8:13" x14ac:dyDescent="0.3">
      <c r="H24" s="5" t="s">
        <v>20</v>
      </c>
      <c r="I24" s="6">
        <v>208510</v>
      </c>
      <c r="L24" s="5" t="s">
        <v>23</v>
      </c>
      <c r="M24" s="6">
        <v>12000</v>
      </c>
    </row>
    <row r="25" spans="8:13" x14ac:dyDescent="0.3">
      <c r="H25" s="5" t="s">
        <v>27</v>
      </c>
      <c r="I25" s="6">
        <v>426530</v>
      </c>
      <c r="L25" s="5" t="s">
        <v>27</v>
      </c>
      <c r="M25" s="6">
        <v>397800</v>
      </c>
    </row>
    <row r="35" spans="8:9" x14ac:dyDescent="0.3">
      <c r="H35" s="4" t="s">
        <v>26</v>
      </c>
      <c r="I35" t="s">
        <v>28</v>
      </c>
    </row>
    <row r="36" spans="8:9" x14ac:dyDescent="0.3">
      <c r="H36" s="5" t="s">
        <v>11</v>
      </c>
      <c r="I36" s="6">
        <v>66010</v>
      </c>
    </row>
    <row r="37" spans="8:9" x14ac:dyDescent="0.3">
      <c r="H37" s="5" t="s">
        <v>14</v>
      </c>
      <c r="I37" s="6">
        <v>121600</v>
      </c>
    </row>
    <row r="38" spans="8:9" x14ac:dyDescent="0.3">
      <c r="H38" s="5" t="s">
        <v>16</v>
      </c>
      <c r="I38" s="6">
        <v>123820</v>
      </c>
    </row>
    <row r="39" spans="8:9" x14ac:dyDescent="0.3">
      <c r="H39" s="5" t="s">
        <v>27</v>
      </c>
      <c r="I39" s="6">
        <v>311430</v>
      </c>
    </row>
  </sheetData>
  <mergeCells count="1">
    <mergeCell ref="A2:E2"/>
  </mergeCells>
  <pageMargins left="0.7" right="0.7" top="0.75" bottom="0.75" header="0.3" footer="0.3"/>
  <drawing r:id="rId8"/>
  <extLst>
    <ext xmlns:x15="http://schemas.microsoft.com/office/spreadsheetml/2010/11/main" uri="{7E03D99C-DC04-49d9-9315-930204A7B6E9}">
      <x15:timelineRefs>
        <x15:timelineRef r:id="rId9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2026-10-16T22:27:44Z</dcterms:modified>
</cp:coreProperties>
</file>