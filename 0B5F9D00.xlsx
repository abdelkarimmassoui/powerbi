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THINKPAD\Desktop\power bi\"/>
    </mc:Choice>
  </mc:AlternateContent>
  <xr:revisionPtr revIDLastSave="0" documentId="13_ncr:1_{BAC1819C-370B-4C28-AE89-CA0855A14835}" xr6:coauthVersionLast="47" xr6:coauthVersionMax="47" xr10:uidLastSave="{00000000-0000-0000-0000-000000000000}"/>
  <bookViews>
    <workbookView xWindow="-108" yWindow="-108" windowWidth="23256" windowHeight="12456" xr2:uid="{30BFA6B8-A676-4931-80C6-DA6F72E44419}"/>
  </bookViews>
  <sheets>
    <sheet name="dashboard" sheetId="4" r:id="rId1"/>
    <sheet name="data analysis" sheetId="3" r:id="rId2"/>
    <sheet name="table" sheetId="2" r:id="rId3"/>
    <sheet name="data" sheetId="1" r:id="rId4"/>
  </sheets>
  <definedNames>
    <definedName name="ExternalData_1" localSheetId="2" hidden="1">table!$A$1:$H$41</definedName>
    <definedName name="NativeTimeline_Date">#N/A</definedName>
    <definedName name="Slicer_Region">#N/A</definedName>
    <definedName name="Slicer_Salesma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7" i="3" l="1"/>
  <c r="E7" i="3"/>
  <c r="C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D4680E-8917-4A64-9E63-381C72A41241}"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<sst xmlns="http://schemas.openxmlformats.org/spreadsheetml/2006/main" count="284" uniqueCount="35">
  <si>
    <t>S No</t>
  </si>
  <si>
    <t>Date</t>
  </si>
  <si>
    <t>Salesman</t>
  </si>
  <si>
    <t>Region</t>
  </si>
  <si>
    <t>Item</t>
  </si>
  <si>
    <t>Qty</t>
  </si>
  <si>
    <t>Price</t>
  </si>
  <si>
    <t>Amount</t>
  </si>
  <si>
    <t>Ahmed Said</t>
  </si>
  <si>
    <t>Cairo</t>
  </si>
  <si>
    <t>Mouse</t>
  </si>
  <si>
    <t>Ali Ramadan</t>
  </si>
  <si>
    <t>Domietta</t>
  </si>
  <si>
    <t>Scanner</t>
  </si>
  <si>
    <t>Ashraf Zaki</t>
  </si>
  <si>
    <t>Printer</t>
  </si>
  <si>
    <t>Fathy Ali</t>
  </si>
  <si>
    <t>Tamer Mohamed</t>
  </si>
  <si>
    <t>Khaled Hassan</t>
  </si>
  <si>
    <t>Laptop</t>
  </si>
  <si>
    <t>Giza</t>
  </si>
  <si>
    <t>Speaker</t>
  </si>
  <si>
    <t>Alexandria</t>
  </si>
  <si>
    <t>Monitor</t>
  </si>
  <si>
    <t>Headset</t>
  </si>
  <si>
    <t>Keyboard</t>
  </si>
  <si>
    <t>Row Labels</t>
  </si>
  <si>
    <t>Grand Total</t>
  </si>
  <si>
    <t>Sum of Amount</t>
  </si>
  <si>
    <t>TOTAL SALES</t>
  </si>
  <si>
    <t>TOTAL ITEM</t>
  </si>
  <si>
    <t>AVG SALES</t>
  </si>
  <si>
    <t>KPIS</t>
  </si>
  <si>
    <t>Jan</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</si>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</sst>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14" fontId="0" fillId="0" borderId="0" xfId="0" applyNumberFormat="1"/>
    <xf numFmtId="3"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2" borderId="0" xfId="0" applyNumberFormat="1" applyFill="1"/>
    <xf numFmtId="164" fontId="0" fillId="2" borderId="0" xfId="1" applyNumberFormat="1" applyFont="1" applyFill="1"/>
    <xf numFmtId="1" fontId="0" fillId="0" borderId="0" xfId="0" applyNumberFormat="1"/>
    <xf numFmtId="0" fontId="0" fillId="0" borderId="0" xfId="0" applyAlignment="1">
      <alignment horizontal="center"/>
    </xf>
  </cellXfs>
  <cellStyles count="2">
    <cellStyle name="Currency" xfId="1" builtinId="4"/>
    <cellStyle name="Normal" xfId="0" builtinId="0"/>
  </cellStyles>
  <dxfs count="355">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0" formatCode="General"/>
    </dxf>
    <dxf>
      <numFmt numFmtId="0" formatCode="General"/>
    </dxf>
    <dxf>
      <numFmt numFmtId="0" formatCode="General"/>
    </dxf>
    <dxf>
      <numFmt numFmtId="19" formatCode="m/d/yyyy"/>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[0B5F9D00.xlsx]data 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months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analysis'!$I$5</c:f>
              <c:strCache>
                <c:ptCount val="1"/>
                <c:pt idx="0">
                  <c:v>Total</c:v>
                </c:pt>
              </c:strCache>
            </c:strRef>
          </c:tx>
          <c:spPr>
            <a:ln w="28575" cap="rnd">
              <a:solidFill>
                <a:schemeClr val="accent1"/>
              </a:solidFill>
              <a:round/>
            </a:ln>
            <a:effectLst/>
          </c:spPr>
          <c:marker>
            <c:symbol val="none"/>
          </c:marker>
          <c:cat>
            <c:strRef>
              <c:f>'data analysis'!$H$6:$H$8</c:f>
              <c:strCache>
                <c:ptCount val="2"/>
                <c:pt idx="0">
                  <c:v>Jan</c:v>
                </c:pt>
                <c:pt idx="1">
                  <c:v>Feb</c:v>
                </c:pt>
              </c:strCache>
            </c:strRef>
          </c:cat>
          <c:val>
            <c:numRef>
              <c:f>'data analysis'!$I$6:$I$8</c:f>
              <c:numCache>
                <c:formatCode>General</c:formatCode>
                <c:ptCount val="2"/>
                <c:pt idx="0">
                  <c:v>120750</c:v>
                </c:pt>
                <c:pt idx="1">
                  <c:v>34700</c:v>
                </c:pt>
              </c:numCache>
            </c:numRef>
          </c:val>
          <c:smooth val="0"/>
          <c:extLst>
            <c:ext xmlns:c16="http://schemas.microsoft.com/office/drawing/2014/chart" uri="{C3380CC4-5D6E-409C-BE32-E72D297353CC}">
              <c16:uniqueId val="{00000000-32D4-4D15-873C-9CE162229622}"/>
            </c:ext>
          </c:extLst>
        </c:ser>
        <c:dLbls>
          <c:showLegendKey val="0"/>
          <c:showVal val="0"/>
          <c:showCatName val="0"/>
          <c:showSerName val="0"/>
          <c:showPercent val="0"/>
          <c:showBubbleSize val="0"/>
        </c:dLbls>
        <c:smooth val="0"/>
        <c:axId val="1216137871"/>
        <c:axId val="1216138351"/>
      </c:lineChart>
      <c:catAx>
        <c:axId val="121613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138351"/>
        <c:crosses val="autoZero"/>
        <c:auto val="1"/>
        <c:lblAlgn val="ctr"/>
        <c:lblOffset val="100"/>
        <c:noMultiLvlLbl val="0"/>
      </c:catAx>
      <c:valAx>
        <c:axId val="121613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137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[0B5F9D00.xlsx]data analysis!PivotTable6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amount</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howDataLabelsRange val="1"/>
            </c:ext>
          </c:extLst>
        </c:dLbl>
      </c:pivotFmt>
      <c:pivotFmt>
        <c:idx val="7"/>
        <c:spPr>
          <a:solidFill>
            <a:schemeClr val="accent1"/>
          </a:solidFill>
          <a:ln w="19050">
            <a:solidFill>
              <a:schemeClr val="lt1"/>
            </a:solidFill>
          </a:ln>
          <a:effectLst/>
        </c:spPr>
        <c:dLbl>
          <c:idx val="0"/>
          <c:layout>
            <c:manualLayout>
              <c:x val="4.0774719673802244E-2"/>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1"/>
            </c:ext>
          </c:extLst>
        </c:dLbl>
      </c:pivotFmt>
      <c:pivotFmt>
        <c:idx val="8"/>
        <c:spPr>
          <a:solidFill>
            <a:schemeClr val="accent1"/>
          </a:solidFill>
          <a:ln w="19050">
            <a:solidFill>
              <a:schemeClr val="lt1"/>
            </a:solidFill>
          </a:ln>
          <a:effectLst/>
        </c:spPr>
        <c:dLbl>
          <c:idx val="0"/>
          <c:layout>
            <c:manualLayout>
              <c:x val="0.1274209989806319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1"/>
            </c:ext>
          </c:extLst>
        </c:dLbl>
      </c:pivotFmt>
      <c:pivotFmt>
        <c:idx val="9"/>
        <c:spPr>
          <a:solidFill>
            <a:schemeClr val="accent1"/>
          </a:solidFill>
          <a:ln w="19050">
            <a:solidFill>
              <a:schemeClr val="lt1"/>
            </a:solidFill>
          </a:ln>
          <a:effectLst/>
        </c:spPr>
        <c:dLbl>
          <c:idx val="0"/>
          <c:layout>
            <c:manualLayout>
              <c:x val="8.1549439347604488E-2"/>
              <c:y val="0.1203703703703702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EC32A3-2FF5-4CFB-8605-4A4C5AD2D8B3}" type="CELLRANGE">
                  <a:rPr lang="en-US" baseline="0"/>
                  <a:pPr>
                    <a:defRPr/>
                  </a:pPr>
                  <a:t>[CELLRANGE]</a:t>
                </a:fld>
                <a:r>
                  <a:rPr lang="en-US" baseline="0"/>
                  <a:t>, </a:t>
                </a:r>
                <a:fld id="{66702D19-7F1F-4C38-A0FE-C9DC081F3236}"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1"/>
            </c:ext>
          </c:extLst>
        </c:dLbl>
      </c:pivotFmt>
      <c:pivotFmt>
        <c:idx val="10"/>
        <c:spPr>
          <a:solidFill>
            <a:schemeClr val="accent1"/>
          </a:solidFill>
          <a:ln w="19050">
            <a:solidFill>
              <a:schemeClr val="lt1"/>
            </a:solidFill>
          </a:ln>
          <a:effectLst/>
        </c:spPr>
        <c:dLbl>
          <c:idx val="0"/>
          <c:layout>
            <c:manualLayout>
              <c:x val="-9.1743119266055051E-2"/>
              <c:y val="9.7222222222222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1"/>
            </c:ext>
          </c:extLst>
        </c:dLbl>
      </c:pivotFmt>
    </c:pivotFmts>
    <c:plotArea>
      <c:layout/>
      <c:doughnutChart>
        <c:varyColors val="1"/>
        <c:ser>
          <c:idx val="0"/>
          <c:order val="0"/>
          <c:tx>
            <c:strRef>
              <c:f>'data analysis'!$H$21:$H$24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6F-40FB-A8D7-950581BCD9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6F-40FB-A8D7-950581BCD9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6F-40FB-A8D7-950581BCD9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6F-40FB-A8D7-950581BCD903}"/>
              </c:ext>
            </c:extLst>
          </c:dPt>
          <c:dLbls>
            <c:dLbl>
              <c:idx val="0"/>
              <c:layout>
                <c:manualLayout>
                  <c:x val="8.1549439347604488E-2"/>
                  <c:y val="0.12037037037037028"/>
                </c:manualLayout>
              </c:layout>
              <c:tx>
                <c:rich>
                  <a:bodyPr/>
                  <a:lstStyle/>
                  <a:p>
                    <a:fld id="{FEEC32A3-2FF5-4CFB-8605-4A4C5AD2D8B3}" type="CELLRANGE">
                      <a:rPr lang="en-US" baseline="0"/>
                      <a:pPr/>
                      <a:t>[CELLRANGE]</a:t>
                    </a:fld>
                    <a:r>
                      <a:rPr lang="en-US" baseline="0"/>
                      <a:t>, </a:t>
                    </a:r>
                    <a:fld id="{66702D19-7F1F-4C38-A0FE-C9DC081F3236}" type="PERCENTAGE">
                      <a:rPr lang="en-US" baseline="0"/>
                      <a:pPr/>
                      <a:t>[PERCENTAGE]</a:t>
                    </a:fld>
                    <a:endParaRPr lang="en-US" baseline="0"/>
                  </a:p>
                </c:rich>
              </c:tx>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76F-40FB-A8D7-950581BCD9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'data analysis'!$H$21:$H$24</c:f>
              <c:strCache>
                <c:ptCount val="1"/>
                <c:pt idx="0">
                  <c:v>Domietta</c:v>
                </c:pt>
              </c:strCache>
            </c:strRef>
          </c:cat>
          <c:val>
            <c:numRef>
              <c:f>'data analysis'!$H$21:$H$24</c:f>
              <c:numCache>
                <c:formatCode>General</c:formatCode>
                <c:ptCount val="1"/>
                <c:pt idx="0">
                  <c:v>155450</c:v>
                </c:pt>
              </c:numCache>
            </c:numRef>
          </c:val>
          <c:extLst>
            <c:ext xmlns:c15="http://schemas.microsoft.com/office/drawing/2012/chart" uri="{02D57815-91ED-43cb-92C2-25804820EDAC}">
              <c15:datalabelsRange>
                <c15:f>'data analysis'!$H$21:$H$24</c15:f>
                <c15:dlblRangeCache>
                  <c:ptCount val="4"/>
                  <c:pt idx="0">
                    <c:v>Domietta</c:v>
                  </c:pt>
                  <c:pt idx="1">
                    <c:v>Grand Total</c:v>
                  </c:pt>
                </c15:dlblRangeCache>
              </c15:datalabelsRange>
            </c:ext>
            <c:ext xmlns:c16="http://schemas.microsoft.com/office/drawing/2014/chart" uri="{C3380CC4-5D6E-409C-BE32-E72D297353CC}">
              <c16:uniqueId val="{00000008-176F-40FB-A8D7-950581BCD90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[0B5F9D00.xlsx]data analysis!PivotTable4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prouct by amount</a:t>
            </a:r>
            <a:r>
              <a:rPr lang="en-US"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analysis'!$M$21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analysis'!$L$22:$L$25</c:f>
              <c:strCache>
                <c:ptCount val="3"/>
                <c:pt idx="0">
                  <c:v>Laptop</c:v>
                </c:pt>
                <c:pt idx="1">
                  <c:v>Printer</c:v>
                </c:pt>
                <c:pt idx="2">
                  <c:v>Scanner</c:v>
                </c:pt>
              </c:strCache>
            </c:strRef>
          </c:cat>
          <c:val>
            <c:numRef>
              <c:f>'data analysis'!$M$22:$M$25</c:f>
              <c:numCache>
                <c:formatCode>General</c:formatCode>
                <c:ptCount val="3"/>
                <c:pt idx="0">
                  <c:v>102000</c:v>
                </c:pt>
                <c:pt idx="1">
                  <c:v>27300</c:v>
                </c:pt>
                <c:pt idx="2">
                  <c:v>10500</c:v>
                </c:pt>
              </c:numCache>
            </c:numRef>
          </c:val>
          <c:extLst>
            <c:ext xmlns:c16="http://schemas.microsoft.com/office/drawing/2014/chart" uri="{C3380CC4-5D6E-409C-BE32-E72D297353CC}">
              <c16:uniqueId val="{00000000-37E2-4940-A47D-8ADBE66178CA}"/>
            </c:ext>
          </c:extLst>
        </c:ser>
        <c:dLbls>
          <c:dLblPos val="outEnd"/>
          <c:showLegendKey val="0"/>
          <c:showVal val="1"/>
          <c:showCatName val="0"/>
          <c:showSerName val="0"/>
          <c:showPercent val="0"/>
          <c:showBubbleSize val="0"/>
        </c:dLbls>
        <c:gapWidth val="219"/>
        <c:overlap val="-27"/>
        <c:axId val="435650320"/>
        <c:axId val="435662320"/>
      </c:barChart>
      <c:catAx>
        <c:axId val="435650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662320"/>
        <c:crosses val="autoZero"/>
        <c:auto val="1"/>
        <c:lblAlgn val="ctr"/>
        <c:lblOffset val="100"/>
        <c:noMultiLvlLbl val="0"/>
      </c:catAx>
      <c:valAx>
        <c:axId val="4356623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650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[0B5F9D00.xlsx]data analysis!PivotTable7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salers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analysis'!$I$35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analysis'!$H$36:$H$42</c:f>
              <c:strCache>
                <c:ptCount val="6"/>
                <c:pt idx="0">
                  <c:v>Ahmed Said</c:v>
                </c:pt>
                <c:pt idx="1">
                  <c:v>Ali Ramadan</c:v>
                </c:pt>
                <c:pt idx="2">
                  <c:v>Ashraf Zaki</c:v>
                </c:pt>
                <c:pt idx="3">
                  <c:v>Fathy Ali</c:v>
                </c:pt>
                <c:pt idx="4">
                  <c:v>Khaled Hassan</c:v>
                </c:pt>
                <c:pt idx="5">
                  <c:v>Tamer Mohamed</c:v>
                </c:pt>
              </c:strCache>
            </c:strRef>
          </c:cat>
          <c:val>
            <c:numRef>
              <c:f>'data analysis'!$I$36:$I$42</c:f>
              <c:numCache>
                <c:formatCode>General</c:formatCode>
                <c:ptCount val="6"/>
                <c:pt idx="0">
                  <c:v>2040</c:v>
                </c:pt>
                <c:pt idx="1">
                  <c:v>56860</c:v>
                </c:pt>
                <c:pt idx="2">
                  <c:v>34100</c:v>
                </c:pt>
                <c:pt idx="3">
                  <c:v>8700</c:v>
                </c:pt>
                <c:pt idx="4">
                  <c:v>35260</c:v>
                </c:pt>
                <c:pt idx="5">
                  <c:v>18490</c:v>
                </c:pt>
              </c:numCache>
            </c:numRef>
          </c:val>
          <c:extLst>
            <c:ext xmlns:c16="http://schemas.microsoft.com/office/drawing/2014/chart" uri="{C3380CC4-5D6E-409C-BE32-E72D297353CC}">
              <c16:uniqueId val="{00000000-7577-4FC9-8CDC-48B8A48BD2E0}"/>
            </c:ext>
          </c:extLst>
        </c:ser>
        <c:dLbls>
          <c:dLblPos val="outEnd"/>
          <c:showLegendKey val="0"/>
          <c:showVal val="1"/>
          <c:showCatName val="0"/>
          <c:showSerName val="0"/>
          <c:showPercent val="0"/>
          <c:showBubbleSize val="0"/>
        </c:dLbls>
        <c:gapWidth val="182"/>
        <c:axId val="497161696"/>
        <c:axId val="497169856"/>
      </c:barChart>
      <c:catAx>
        <c:axId val="4971616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169856"/>
        <c:crosses val="autoZero"/>
        <c:auto val="1"/>
        <c:lblAlgn val="ctr"/>
        <c:lblOffset val="100"/>
        <c:noMultiLvlLbl val="0"/>
      </c:catAx>
      <c:valAx>
        <c:axId val="497169856"/>
        <c:scaling>
          <c:orientation val="minMax"/>
        </c:scaling>
        <c:delete val="1"/>
        <c:axPos val="b"/>
        <c:numFmt formatCode="General" sourceLinked="1"/>
        <c:majorTickMark val="out"/>
        <c:minorTickMark val="none"/>
        <c:tickLblPos val="nextTo"/>
        <c:crossAx val="497161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[0B5F9D00.xlsx]data 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analysis'!$I$5</c:f>
              <c:strCache>
                <c:ptCount val="1"/>
                <c:pt idx="0">
                  <c:v>Total</c:v>
                </c:pt>
              </c:strCache>
            </c:strRef>
          </c:tx>
          <c:spPr>
            <a:ln w="28575" cap="rnd">
              <a:solidFill>
                <a:schemeClr val="accent1"/>
              </a:solidFill>
              <a:round/>
            </a:ln>
            <a:effectLst/>
          </c:spPr>
          <c:marker>
            <c:symbol val="none"/>
          </c:marker>
          <c:cat>
            <c:strRef>
              <c:f>'data analysis'!$H$6:$H$8</c:f>
              <c:strCache>
                <c:ptCount val="2"/>
                <c:pt idx="0">
                  <c:v>Jan</c:v>
                </c:pt>
                <c:pt idx="1">
                  <c:v>Feb</c:v>
                </c:pt>
              </c:strCache>
            </c:strRef>
          </c:cat>
          <c:val>
            <c:numRef>
              <c:f>'data analysis'!$I$6:$I$8</c:f>
              <c:numCache>
                <c:formatCode>General</c:formatCode>
                <c:ptCount val="2"/>
                <c:pt idx="0">
                  <c:v>120750</c:v>
                </c:pt>
                <c:pt idx="1">
                  <c:v>34700</c:v>
                </c:pt>
              </c:numCache>
            </c:numRef>
          </c:val>
          <c:smooth val="0"/>
          <c:extLst>
            <c:ext xmlns:c16="http://schemas.microsoft.com/office/drawing/2014/chart" uri="{C3380CC4-5D6E-409C-BE32-E72D297353CC}">
              <c16:uniqueId val="{00000000-CF70-42B1-9B26-8E6C39327083}"/>
            </c:ext>
          </c:extLst>
        </c:ser>
        <c:dLbls>
          <c:showLegendKey val="0"/>
          <c:showVal val="0"/>
          <c:showCatName val="0"/>
          <c:showSerName val="0"/>
          <c:showPercent val="0"/>
          <c:showBubbleSize val="0"/>
        </c:dLbls>
        <c:smooth val="0"/>
        <c:axId val="1216137871"/>
        <c:axId val="1216138351"/>
      </c:lineChart>
      <c:catAx>
        <c:axId val="121613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138351"/>
        <c:crosses val="autoZero"/>
        <c:auto val="1"/>
        <c:lblAlgn val="ctr"/>
        <c:lblOffset val="100"/>
        <c:noMultiLvlLbl val="0"/>
      </c:catAx>
      <c:valAx>
        <c:axId val="121613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13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[0B5F9D00.xlsx]data analysis!PivotTable6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'data analysis'!$I$20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7C-4FCC-B56E-32017B38C3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7C-4FCC-B56E-32017B38C3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7C-4FCC-B56E-32017B38C3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7C-4FCC-B56E-32017B38C32B}"/>
              </c:ext>
            </c:extLst>
          </c:dPt>
          <c:cat>
            <c:strRef>
              <c:f>'data analysis'!$H$21:$H$22</c:f>
              <c:strCache>
                <c:ptCount val="1"/>
                <c:pt idx="0">
                  <c:v>Domietta</c:v>
                </c:pt>
              </c:strCache>
            </c:strRef>
          </c:cat>
          <c:val>
            <c:numRef>
              <c:f>'data analysis'!$I$21:$I$22</c:f>
              <c:numCache>
                <c:formatCode>General</c:formatCode>
                <c:ptCount val="1"/>
                <c:pt idx="0">
                  <c:v>155450</c:v>
                </c:pt>
              </c:numCache>
            </c:numRef>
          </c:val>
          <c:extLst>
            <c:ext xmlns:c16="http://schemas.microsoft.com/office/drawing/2014/chart" uri="{C3380CC4-5D6E-409C-BE32-E72D297353CC}">
              <c16:uniqueId val="{00000000-C1B3-46DC-BCB9-EEF66AC136D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[0B5F9D00.xlsx]data analysis!PivotTable4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analysis'!$M$21</c:f>
              <c:strCache>
                <c:ptCount val="1"/>
                <c:pt idx="0">
                  <c:v>Total</c:v>
                </c:pt>
              </c:strCache>
            </c:strRef>
          </c:tx>
          <c:spPr>
            <a:solidFill>
              <a:schemeClr val="accent1"/>
            </a:solidFill>
            <a:ln>
              <a:noFill/>
            </a:ln>
            <a:effectLst/>
          </c:spPr>
          <c:invertIfNegative val="0"/>
          <c:cat>
            <c:strRef>
              <c:f>'data analysis'!$L$22:$L$25</c:f>
              <c:strCache>
                <c:ptCount val="3"/>
                <c:pt idx="0">
                  <c:v>Laptop</c:v>
                </c:pt>
                <c:pt idx="1">
                  <c:v>Printer</c:v>
                </c:pt>
                <c:pt idx="2">
                  <c:v>Scanner</c:v>
                </c:pt>
              </c:strCache>
            </c:strRef>
          </c:cat>
          <c:val>
            <c:numRef>
              <c:f>'data analysis'!$M$22:$M$25</c:f>
              <c:numCache>
                <c:formatCode>General</c:formatCode>
                <c:ptCount val="3"/>
                <c:pt idx="0">
                  <c:v>102000</c:v>
                </c:pt>
                <c:pt idx="1">
                  <c:v>27300</c:v>
                </c:pt>
                <c:pt idx="2">
                  <c:v>10500</c:v>
                </c:pt>
              </c:numCache>
            </c:numRef>
          </c:val>
          <c:extLst>
            <c:ext xmlns:c16="http://schemas.microsoft.com/office/drawing/2014/chart" uri="{C3380CC4-5D6E-409C-BE32-E72D297353CC}">
              <c16:uniqueId val="{00000000-8019-4E31-B20D-98DCAA019A47}"/>
            </c:ext>
          </c:extLst>
        </c:ser>
        <c:dLbls>
          <c:showLegendKey val="0"/>
          <c:showVal val="0"/>
          <c:showCatName val="0"/>
          <c:showSerName val="0"/>
          <c:showPercent val="0"/>
          <c:showBubbleSize val="0"/>
        </c:dLbls>
        <c:gapWidth val="219"/>
        <c:overlap val="-27"/>
        <c:axId val="435650320"/>
        <c:axId val="435662320"/>
      </c:barChart>
      <c:catAx>
        <c:axId val="43565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662320"/>
        <c:crosses val="autoZero"/>
        <c:auto val="1"/>
        <c:lblAlgn val="ctr"/>
        <c:lblOffset val="100"/>
        <c:noMultiLvlLbl val="0"/>
      </c:catAx>
      <c:valAx>
        <c:axId val="43566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65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[0B5F9D00.xlsx]data analysis!PivotTable7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analysis'!$I$35</c:f>
              <c:strCache>
                <c:ptCount val="1"/>
                <c:pt idx="0">
                  <c:v>Total</c:v>
                </c:pt>
              </c:strCache>
            </c:strRef>
          </c:tx>
          <c:spPr>
            <a:solidFill>
              <a:schemeClr val="accent1"/>
            </a:solidFill>
            <a:ln>
              <a:noFill/>
            </a:ln>
            <a:effectLst/>
          </c:spPr>
          <c:invertIfNegative val="0"/>
          <c:cat>
            <c:strRef>
              <c:f>'data analysis'!$H$36:$H$42</c:f>
              <c:strCache>
                <c:ptCount val="6"/>
                <c:pt idx="0">
                  <c:v>Ahmed Said</c:v>
                </c:pt>
                <c:pt idx="1">
                  <c:v>Ali Ramadan</c:v>
                </c:pt>
                <c:pt idx="2">
                  <c:v>Ashraf Zaki</c:v>
                </c:pt>
                <c:pt idx="3">
                  <c:v>Fathy Ali</c:v>
                </c:pt>
                <c:pt idx="4">
                  <c:v>Khaled Hassan</c:v>
                </c:pt>
                <c:pt idx="5">
                  <c:v>Tamer Mohamed</c:v>
                </c:pt>
              </c:strCache>
            </c:strRef>
          </c:cat>
          <c:val>
            <c:numRef>
              <c:f>'data analysis'!$I$36:$I$42</c:f>
              <c:numCache>
                <c:formatCode>General</c:formatCode>
                <c:ptCount val="6"/>
                <c:pt idx="0">
                  <c:v>2040</c:v>
                </c:pt>
                <c:pt idx="1">
                  <c:v>56860</c:v>
                </c:pt>
                <c:pt idx="2">
                  <c:v>34100</c:v>
                </c:pt>
                <c:pt idx="3">
                  <c:v>8700</c:v>
                </c:pt>
                <c:pt idx="4">
                  <c:v>35260</c:v>
                </c:pt>
                <c:pt idx="5">
                  <c:v>18490</c:v>
                </c:pt>
              </c:numCache>
            </c:numRef>
          </c:val>
          <c:extLst>
            <c:ext xmlns:c16="http://schemas.microsoft.com/office/drawing/2014/chart" uri="{C3380CC4-5D6E-409C-BE32-E72D297353CC}">
              <c16:uniqueId val="{00000000-FDFC-4C1D-9A65-4CF24BB3E542}"/>
            </c:ext>
          </c:extLst>
        </c:ser>
        <c:dLbls>
          <c:showLegendKey val="0"/>
          <c:showVal val="0"/>
          <c:showCatName val="0"/>
          <c:showSerName val="0"/>
          <c:showPercent val="0"/>
          <c:showBubbleSize val="0"/>
        </c:dLbls>
        <c:gapWidth val="182"/>
        <c:axId val="497161696"/>
        <c:axId val="497169856"/>
      </c:barChart>
      <c:catAx>
        <c:axId val="49716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169856"/>
        <c:crosses val="autoZero"/>
        <c:auto val="1"/>
        <c:lblAlgn val="ctr"/>
        <c:lblOffset val="100"/>
        <c:noMultiLvlLbl val="0"/>
      </c:catAx>
      <c:valAx>
        <c:axId val="497169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16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8.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7.pn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266700</xdr:colOff>
      <xdr:row>56</xdr:row>
      <xdr:rowOff>53340</xdr:rowOff>
    </xdr:to>
    <xdr:sp macro="" textlink="">
      <xdr:nvSpPr>
        <xdr:cNvPr id="25" name="Rectangle: Rounded Corners 24">
          <a:extLst>
            <a:ext uri="{FF2B5EF4-FFF2-40B4-BE49-F238E27FC236}">
              <a16:creationId xmlns:a16="http://schemas.microsoft.com/office/drawing/2014/main" id="{0D598809-2899-CA04-5365-D4B55ECB3A62}"/>
            </a:ext>
          </a:extLst>
        </xdr:cNvPr>
        <xdr:cNvSpPr/>
      </xdr:nvSpPr>
      <xdr:spPr>
        <a:xfrm>
          <a:off x="0" y="0"/>
          <a:ext cx="10629900" cy="10294620"/>
        </a:xfrm>
        <a:prstGeom prst="roundRect">
          <a:avLst>
            <a:gd name="adj" fmla="val 1531"/>
          </a:avLst>
        </a:prstGeom>
        <a:solidFill>
          <a:schemeClr val="bg1">
            <a:lumMod val="95000"/>
          </a:schemeClr>
        </a:solidFill>
        <a:ln>
          <a:noFill/>
        </a:ln>
        <a:effectLst>
          <a:glow rad="381000">
            <a:schemeClr val="accent2">
              <a:satMod val="175000"/>
              <a:alpha val="40000"/>
            </a:schemeClr>
          </a:glow>
          <a:outerShdw blurRad="50800" dist="38100" dir="8100000" algn="tr" rotWithShape="0">
            <a:prstClr val="black">
              <a:alpha val="40000"/>
            </a:prstClr>
          </a:outerShdw>
          <a:softEdge rad="0"/>
        </a:effectLst>
        <a:scene3d>
          <a:camera prst="obliqueTopLeft"/>
          <a:lightRig rig="threePt" dir="t"/>
        </a:scene3d>
        <a:sp3d z="1587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0"/>
        <a:lstStyle/>
        <a:p>
          <a:pPr algn="l"/>
          <a:endParaRPr lang="en-US" sz="1100"/>
        </a:p>
      </xdr:txBody>
    </xdr:sp>
    <xdr:clientData/>
  </xdr:twoCellAnchor>
  <xdr:twoCellAnchor>
    <xdr:from>
      <xdr:col>4</xdr:col>
      <xdr:colOff>0</xdr:colOff>
      <xdr:row>9</xdr:row>
      <xdr:rowOff>18358</xdr:rowOff>
    </xdr:from>
    <xdr:to>
      <xdr:col>7</xdr:col>
      <xdr:colOff>38100</xdr:colOff>
      <xdr:row>12</xdr:row>
      <xdr:rowOff>141663</xdr:rowOff>
    </xdr:to>
    <xdr:grpSp>
      <xdr:nvGrpSpPr>
        <xdr:cNvPr id="12" name="Group 11">
          <a:extLst>
            <a:ext uri="{FF2B5EF4-FFF2-40B4-BE49-F238E27FC236}">
              <a16:creationId xmlns:a16="http://schemas.microsoft.com/office/drawing/2014/main" id="{86F77C03-3584-0089-DE88-7E7005622D0B}"/>
            </a:ext>
          </a:extLst>
        </xdr:cNvPr>
        <xdr:cNvGrpSpPr/>
      </xdr:nvGrpSpPr>
      <xdr:grpSpPr>
        <a:xfrm>
          <a:off x="2438400" y="1664278"/>
          <a:ext cx="1866900" cy="671945"/>
          <a:chOff x="2385060" y="701040"/>
          <a:chExt cx="1866900" cy="739140"/>
        </a:xfrm>
      </xdr:grpSpPr>
      <xdr:sp macro="" textlink="'data analysis'!A7">
        <xdr:nvSpPr>
          <xdr:cNvPr id="2" name="TextBox 1">
            <a:extLst>
              <a:ext uri="{FF2B5EF4-FFF2-40B4-BE49-F238E27FC236}">
                <a16:creationId xmlns:a16="http://schemas.microsoft.com/office/drawing/2014/main" id="{298D81AF-3522-AE4E-1E11-5B9B0E9C0C11}"/>
              </a:ext>
            </a:extLst>
          </xdr:cNvPr>
          <xdr:cNvSpPr txBox="1"/>
        </xdr:nvSpPr>
        <xdr:spPr>
          <a:xfrm>
            <a:off x="2385060" y="701040"/>
            <a:ext cx="1866900" cy="73914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579ED93-EF0A-42B5-9B0D-24E1CFD28BCA}" type="TxLink">
              <a:rPr lang="en-US" sz="2000" b="1" i="0" u="none" strike="noStrike">
                <a:solidFill>
                  <a:srgbClr val="000000"/>
                </a:solidFill>
                <a:latin typeface="Aptos Narrow"/>
              </a:rPr>
              <a:pPr algn="r"/>
              <a:t> $155,450 </a:t>
            </a:fld>
            <a:endParaRPr lang="en-US" sz="2000" b="1">
              <a:latin typeface="Gotham" panose="02000504020000020004" pitchFamily="2" charset="0"/>
            </a:endParaRPr>
          </a:p>
        </xdr:txBody>
      </xdr:sp>
      <xdr:pic>
        <xdr:nvPicPr>
          <xdr:cNvPr id="6" name="Graphic 5" descr="Money with solid fill">
            <a:extLst>
              <a:ext uri="{FF2B5EF4-FFF2-40B4-BE49-F238E27FC236}">
                <a16:creationId xmlns:a16="http://schemas.microsoft.com/office/drawing/2014/main" id="{CAD87EE3-6A2A-DAE4-1F6A-4CBB4C810A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22220" y="838200"/>
            <a:ext cx="457200" cy="457200"/>
          </a:xfrm>
          <a:prstGeom prst="rect">
            <a:avLst/>
          </a:prstGeom>
        </xdr:spPr>
      </xdr:pic>
    </xdr:grpSp>
    <xdr:clientData/>
  </xdr:twoCellAnchor>
  <xdr:twoCellAnchor>
    <xdr:from>
      <xdr:col>8</xdr:col>
      <xdr:colOff>293370</xdr:colOff>
      <xdr:row>9</xdr:row>
      <xdr:rowOff>18358</xdr:rowOff>
    </xdr:from>
    <xdr:to>
      <xdr:col>11</xdr:col>
      <xdr:colOff>331470</xdr:colOff>
      <xdr:row>12</xdr:row>
      <xdr:rowOff>141663</xdr:rowOff>
    </xdr:to>
    <xdr:grpSp>
      <xdr:nvGrpSpPr>
        <xdr:cNvPr id="13" name="Group 12">
          <a:extLst>
            <a:ext uri="{FF2B5EF4-FFF2-40B4-BE49-F238E27FC236}">
              <a16:creationId xmlns:a16="http://schemas.microsoft.com/office/drawing/2014/main" id="{C648A276-A127-552E-5911-9F55C081F05D}"/>
            </a:ext>
          </a:extLst>
        </xdr:cNvPr>
        <xdr:cNvGrpSpPr/>
      </xdr:nvGrpSpPr>
      <xdr:grpSpPr>
        <a:xfrm>
          <a:off x="5170170" y="1664278"/>
          <a:ext cx="1866900" cy="671945"/>
          <a:chOff x="5116830" y="701040"/>
          <a:chExt cx="1866900" cy="739140"/>
        </a:xfrm>
      </xdr:grpSpPr>
      <xdr:sp macro="" textlink="'data analysis'!C7">
        <xdr:nvSpPr>
          <xdr:cNvPr id="3" name="TextBox 2">
            <a:extLst>
              <a:ext uri="{FF2B5EF4-FFF2-40B4-BE49-F238E27FC236}">
                <a16:creationId xmlns:a16="http://schemas.microsoft.com/office/drawing/2014/main" id="{E128FE5D-66DC-2A53-2918-C5B556CBB598}"/>
              </a:ext>
            </a:extLst>
          </xdr:cNvPr>
          <xdr:cNvSpPr txBox="1"/>
        </xdr:nvSpPr>
        <xdr:spPr>
          <a:xfrm>
            <a:off x="5116830" y="701040"/>
            <a:ext cx="1866900" cy="73914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AE52DA5-E783-42D2-873D-9F631120CFC5}" type="TxLink">
              <a:rPr lang="en-US" sz="2000" b="1" i="0" u="none" strike="noStrike">
                <a:solidFill>
                  <a:srgbClr val="000000"/>
                </a:solidFill>
                <a:latin typeface="+mj-lt"/>
              </a:rPr>
              <a:pPr algn="r"/>
              <a:t>19</a:t>
            </a:fld>
            <a:endParaRPr lang="en-US" sz="2000" b="1">
              <a:latin typeface="+mj-lt"/>
            </a:endParaRPr>
          </a:p>
        </xdr:txBody>
      </xdr:sp>
      <xdr:pic>
        <xdr:nvPicPr>
          <xdr:cNvPr id="8" name="Graphic 7" descr="Bar chart with solid fill">
            <a:extLst>
              <a:ext uri="{FF2B5EF4-FFF2-40B4-BE49-F238E27FC236}">
                <a16:creationId xmlns:a16="http://schemas.microsoft.com/office/drawing/2014/main" id="{8D3243E3-E0D5-78A8-0AF9-066946EF9BE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242560" y="845820"/>
            <a:ext cx="457200" cy="457200"/>
          </a:xfrm>
          <a:prstGeom prst="rect">
            <a:avLst/>
          </a:prstGeom>
        </xdr:spPr>
      </xdr:pic>
    </xdr:grpSp>
    <xdr:clientData/>
  </xdr:twoCellAnchor>
  <xdr:twoCellAnchor>
    <xdr:from>
      <xdr:col>12</xdr:col>
      <xdr:colOff>586740</xdr:colOff>
      <xdr:row>9</xdr:row>
      <xdr:rowOff>18358</xdr:rowOff>
    </xdr:from>
    <xdr:to>
      <xdr:col>16</xdr:col>
      <xdr:colOff>15240</xdr:colOff>
      <xdr:row>12</xdr:row>
      <xdr:rowOff>141663</xdr:rowOff>
    </xdr:to>
    <xdr:grpSp>
      <xdr:nvGrpSpPr>
        <xdr:cNvPr id="14" name="Group 13">
          <a:extLst>
            <a:ext uri="{FF2B5EF4-FFF2-40B4-BE49-F238E27FC236}">
              <a16:creationId xmlns:a16="http://schemas.microsoft.com/office/drawing/2014/main" id="{F3285620-29D6-1D96-4D9D-BAAF38A9912E}"/>
            </a:ext>
          </a:extLst>
        </xdr:cNvPr>
        <xdr:cNvGrpSpPr/>
      </xdr:nvGrpSpPr>
      <xdr:grpSpPr>
        <a:xfrm>
          <a:off x="7901940" y="1664278"/>
          <a:ext cx="1866900" cy="671945"/>
          <a:chOff x="7848600" y="734638"/>
          <a:chExt cx="1866900" cy="671945"/>
        </a:xfrm>
      </xdr:grpSpPr>
      <xdr:sp macro="" textlink="'data analysis'!E7">
        <xdr:nvSpPr>
          <xdr:cNvPr id="4" name="TextBox 3">
            <a:extLst>
              <a:ext uri="{FF2B5EF4-FFF2-40B4-BE49-F238E27FC236}">
                <a16:creationId xmlns:a16="http://schemas.microsoft.com/office/drawing/2014/main" id="{9CF5D85A-1B58-1E0F-6ECB-D976385F9B60}"/>
              </a:ext>
            </a:extLst>
          </xdr:cNvPr>
          <xdr:cNvSpPr txBox="1"/>
        </xdr:nvSpPr>
        <xdr:spPr>
          <a:xfrm>
            <a:off x="7848600" y="734638"/>
            <a:ext cx="1866900" cy="67194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5705C105-A208-49EE-830A-EA84537AE66E}" type="TxLink">
              <a:rPr lang="en-US" sz="2000" b="1" i="0" u="none" strike="noStrike">
                <a:solidFill>
                  <a:srgbClr val="000000"/>
                </a:solidFill>
                <a:latin typeface="Aptos Narrow"/>
              </a:rPr>
              <a:pPr algn="r"/>
              <a:t>8182</a:t>
            </a:fld>
            <a:endParaRPr lang="en-US" sz="2000" b="1">
              <a:latin typeface="Gotham" panose="02000504020000020004" pitchFamily="2" charset="0"/>
            </a:endParaRPr>
          </a:p>
        </xdr:txBody>
      </xdr:sp>
      <xdr:pic>
        <xdr:nvPicPr>
          <xdr:cNvPr id="10" name="Graphic 9" descr="Coins with solid fill">
            <a:extLst>
              <a:ext uri="{FF2B5EF4-FFF2-40B4-BE49-F238E27FC236}">
                <a16:creationId xmlns:a16="http://schemas.microsoft.com/office/drawing/2014/main" id="{820BEEF1-CD67-BB33-C74D-0C2F9D4BEFE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947660" y="838200"/>
            <a:ext cx="457200" cy="457200"/>
          </a:xfrm>
          <a:prstGeom prst="rect">
            <a:avLst/>
          </a:prstGeom>
        </xdr:spPr>
      </xdr:pic>
    </xdr:grpSp>
    <xdr:clientData/>
  </xdr:twoCellAnchor>
  <xdr:twoCellAnchor editAs="oneCell">
    <xdr:from>
      <xdr:col>1</xdr:col>
      <xdr:colOff>133350</xdr:colOff>
      <xdr:row>9</xdr:row>
      <xdr:rowOff>15240</xdr:rowOff>
    </xdr:from>
    <xdr:to>
      <xdr:col>3</xdr:col>
      <xdr:colOff>483870</xdr:colOff>
      <xdr:row>16</xdr:row>
      <xdr:rowOff>106680</xdr:rowOff>
    </xdr:to>
    <mc:AlternateContent xmlns:mc="http://schemas.openxmlformats.org/markup-compatibility/2006">
      <mc:Choice xmlns:tsle="http://schemas.microsoft.com/office/drawing/2012/timeslicer" Requires="tsle">
        <xdr:graphicFrame macro="">
          <xdr:nvGraphicFramePr>
            <xdr:cNvPr id="11" name="Date 1">
              <a:extLst>
                <a:ext uri="{FF2B5EF4-FFF2-40B4-BE49-F238E27FC236}">
                  <a16:creationId xmlns:a16="http://schemas.microsoft.com/office/drawing/2014/main" id="{48BEA061-2CC9-40DD-9566-8F872D9BD8FD}"/>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742950" y="1661160"/>
              <a:ext cx="156972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30480</xdr:colOff>
      <xdr:row>13</xdr:row>
      <xdr:rowOff>144780</xdr:rowOff>
    </xdr:from>
    <xdr:to>
      <xdr:col>11</xdr:col>
      <xdr:colOff>350520</xdr:colOff>
      <xdr:row>28</xdr:row>
      <xdr:rowOff>144780</xdr:rowOff>
    </xdr:to>
    <xdr:graphicFrame macro="">
      <xdr:nvGraphicFramePr>
        <xdr:cNvPr id="15" name="Chart 14">
          <a:extLst>
            <a:ext uri="{FF2B5EF4-FFF2-40B4-BE49-F238E27FC236}">
              <a16:creationId xmlns:a16="http://schemas.microsoft.com/office/drawing/2014/main" id="{94815654-BF95-431E-9CD7-EFEB4F4A5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13</xdr:row>
      <xdr:rowOff>144780</xdr:rowOff>
    </xdr:from>
    <xdr:to>
      <xdr:col>16</xdr:col>
      <xdr:colOff>53340</xdr:colOff>
      <xdr:row>28</xdr:row>
      <xdr:rowOff>144780</xdr:rowOff>
    </xdr:to>
    <xdr:graphicFrame macro="">
      <xdr:nvGraphicFramePr>
        <xdr:cNvPr id="16" name="Chart 15">
          <a:extLst>
            <a:ext uri="{FF2B5EF4-FFF2-40B4-BE49-F238E27FC236}">
              <a16:creationId xmlns:a16="http://schemas.microsoft.com/office/drawing/2014/main" id="{86A1A43B-B5D6-4312-8078-A26775AC0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38100</xdr:colOff>
      <xdr:row>29</xdr:row>
      <xdr:rowOff>76200</xdr:rowOff>
    </xdr:from>
    <xdr:to>
      <xdr:col>11</xdr:col>
      <xdr:colOff>342900</xdr:colOff>
      <xdr:row>44</xdr:row>
      <xdr:rowOff>76200</xdr:rowOff>
    </xdr:to>
    <xdr:graphicFrame macro="">
      <xdr:nvGraphicFramePr>
        <xdr:cNvPr id="5" name="Chart 4">
          <a:extLst>
            <a:ext uri="{FF2B5EF4-FFF2-40B4-BE49-F238E27FC236}">
              <a16:creationId xmlns:a16="http://schemas.microsoft.com/office/drawing/2014/main" id="{1AC612F3-0F36-4197-8A47-CD0219F78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15240</xdr:colOff>
      <xdr:row>29</xdr:row>
      <xdr:rowOff>91440</xdr:rowOff>
    </xdr:from>
    <xdr:to>
      <xdr:col>16</xdr:col>
      <xdr:colOff>68580</xdr:colOff>
      <xdr:row>44</xdr:row>
      <xdr:rowOff>91440</xdr:rowOff>
    </xdr:to>
    <xdr:graphicFrame macro="">
      <xdr:nvGraphicFramePr>
        <xdr:cNvPr id="7" name="Chart 6">
          <a:extLst>
            <a:ext uri="{FF2B5EF4-FFF2-40B4-BE49-F238E27FC236}">
              <a16:creationId xmlns:a16="http://schemas.microsoft.com/office/drawing/2014/main" id="{22EC6FF2-97BC-455F-8CC0-C26925345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38100</xdr:colOff>
      <xdr:row>45</xdr:row>
      <xdr:rowOff>114300</xdr:rowOff>
    </xdr:from>
    <xdr:to>
      <xdr:col>16</xdr:col>
      <xdr:colOff>76200</xdr:colOff>
      <xdr:row>52</xdr:row>
      <xdr:rowOff>68580</xdr:rowOff>
    </xdr:to>
    <xdr:sp macro="" textlink="">
      <xdr:nvSpPr>
        <xdr:cNvPr id="9" name="Rectangle 8">
          <a:extLst>
            <a:ext uri="{FF2B5EF4-FFF2-40B4-BE49-F238E27FC236}">
              <a16:creationId xmlns:a16="http://schemas.microsoft.com/office/drawing/2014/main" id="{4D17C806-2F9C-488C-4058-2B82E123FA7C}"/>
            </a:ext>
          </a:extLst>
        </xdr:cNvPr>
        <xdr:cNvSpPr/>
      </xdr:nvSpPr>
      <xdr:spPr>
        <a:xfrm>
          <a:off x="2476500" y="8343900"/>
          <a:ext cx="7353300" cy="1234440"/>
        </a:xfrm>
        <a:prstGeom prst="rect">
          <a:avLst/>
        </a:prstGeom>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oneCell">
    <xdr:from>
      <xdr:col>4</xdr:col>
      <xdr:colOff>198120</xdr:colOff>
      <xdr:row>46</xdr:row>
      <xdr:rowOff>106680</xdr:rowOff>
    </xdr:from>
    <xdr:to>
      <xdr:col>5</xdr:col>
      <xdr:colOff>502920</xdr:colOff>
      <xdr:row>51</xdr:row>
      <xdr:rowOff>106680</xdr:rowOff>
    </xdr:to>
    <xdr:pic>
      <xdr:nvPicPr>
        <xdr:cNvPr id="19" name="Graphic 18" descr="Lightbulb and gear with solid fill">
          <a:extLst>
            <a:ext uri="{FF2B5EF4-FFF2-40B4-BE49-F238E27FC236}">
              <a16:creationId xmlns:a16="http://schemas.microsoft.com/office/drawing/2014/main" id="{D94E066D-C47F-3015-75A2-57D38C2870D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636520" y="8519160"/>
          <a:ext cx="914400" cy="914400"/>
        </a:xfrm>
        <a:prstGeom prst="rect">
          <a:avLst/>
        </a:prstGeom>
      </xdr:spPr>
    </xdr:pic>
    <xdr:clientData/>
  </xdr:twoCellAnchor>
  <xdr:twoCellAnchor>
    <xdr:from>
      <xdr:col>6</xdr:col>
      <xdr:colOff>30480</xdr:colOff>
      <xdr:row>47</xdr:row>
      <xdr:rowOff>54483</xdr:rowOff>
    </xdr:from>
    <xdr:to>
      <xdr:col>11</xdr:col>
      <xdr:colOff>182880</xdr:colOff>
      <xdr:row>50</xdr:row>
      <xdr:rowOff>151257</xdr:rowOff>
    </xdr:to>
    <xdr:sp macro="" textlink="">
      <xdr:nvSpPr>
        <xdr:cNvPr id="23" name="TextBox 22">
          <a:extLst>
            <a:ext uri="{FF2B5EF4-FFF2-40B4-BE49-F238E27FC236}">
              <a16:creationId xmlns:a16="http://schemas.microsoft.com/office/drawing/2014/main" id="{768916E5-0F31-43B1-872B-A649CF3220A8}"/>
            </a:ext>
          </a:extLst>
        </xdr:cNvPr>
        <xdr:cNvSpPr txBox="1"/>
      </xdr:nvSpPr>
      <xdr:spPr>
        <a:xfrm>
          <a:off x="3688080" y="8649843"/>
          <a:ext cx="3200400" cy="645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t>top</a:t>
          </a:r>
          <a:r>
            <a:rPr lang="en-US" sz="1400" b="1" baseline="0"/>
            <a:t> sales in jan , top region giza 49% , top product laptop and top salers fathy ali</a:t>
          </a:r>
          <a:endParaRPr lang="en-US" sz="1400" b="1"/>
        </a:p>
      </xdr:txBody>
    </xdr:sp>
    <xdr:clientData/>
  </xdr:twoCellAnchor>
  <xdr:twoCellAnchor>
    <xdr:from>
      <xdr:col>4</xdr:col>
      <xdr:colOff>7620</xdr:colOff>
      <xdr:row>3</xdr:row>
      <xdr:rowOff>22860</xdr:rowOff>
    </xdr:from>
    <xdr:to>
      <xdr:col>16</xdr:col>
      <xdr:colOff>45720</xdr:colOff>
      <xdr:row>8</xdr:row>
      <xdr:rowOff>22860</xdr:rowOff>
    </xdr:to>
    <xdr:sp macro="" textlink="">
      <xdr:nvSpPr>
        <xdr:cNvPr id="17" name="Rectangle 16">
          <a:extLst>
            <a:ext uri="{FF2B5EF4-FFF2-40B4-BE49-F238E27FC236}">
              <a16:creationId xmlns:a16="http://schemas.microsoft.com/office/drawing/2014/main" id="{3B560833-67C2-13CC-D04C-E3F448C40528}"/>
            </a:ext>
          </a:extLst>
        </xdr:cNvPr>
        <xdr:cNvSpPr/>
      </xdr:nvSpPr>
      <xdr:spPr>
        <a:xfrm>
          <a:off x="2446020" y="571500"/>
          <a:ext cx="7353300" cy="9144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510540</xdr:colOff>
      <xdr:row>4</xdr:row>
      <xdr:rowOff>60960</xdr:rowOff>
    </xdr:from>
    <xdr:to>
      <xdr:col>14</xdr:col>
      <xdr:colOff>152400</xdr:colOff>
      <xdr:row>6</xdr:row>
      <xdr:rowOff>167640</xdr:rowOff>
    </xdr:to>
    <xdr:sp macro="" textlink="">
      <xdr:nvSpPr>
        <xdr:cNvPr id="18" name="TextBox 17">
          <a:extLst>
            <a:ext uri="{FF2B5EF4-FFF2-40B4-BE49-F238E27FC236}">
              <a16:creationId xmlns:a16="http://schemas.microsoft.com/office/drawing/2014/main" id="{3753C7B1-CF36-F2D1-BB84-10E5E4D605FC}"/>
            </a:ext>
          </a:extLst>
        </xdr:cNvPr>
        <xdr:cNvSpPr txBox="1"/>
      </xdr:nvSpPr>
      <xdr:spPr>
        <a:xfrm>
          <a:off x="3558540" y="792480"/>
          <a:ext cx="512826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DATA</a:t>
          </a:r>
          <a:r>
            <a:rPr lang="en-US" sz="1800" b="1" baseline="0"/>
            <a:t> ANALYSIS PROFIT COMPANY LILA</a:t>
          </a:r>
          <a:endParaRPr lang="en-US" sz="1800" b="1"/>
        </a:p>
      </xdr:txBody>
    </xdr:sp>
    <xdr:clientData/>
  </xdr:twoCellAnchor>
  <xdr:twoCellAnchor>
    <xdr:from>
      <xdr:col>1</xdr:col>
      <xdr:colOff>504286</xdr:colOff>
      <xdr:row>4</xdr:row>
      <xdr:rowOff>95250</xdr:rowOff>
    </xdr:from>
    <xdr:to>
      <xdr:col>2</xdr:col>
      <xdr:colOff>443326</xdr:colOff>
      <xdr:row>7</xdr:row>
      <xdr:rowOff>19576</xdr:rowOff>
    </xdr:to>
    <xdr:sp macro="" textlink="">
      <xdr:nvSpPr>
        <xdr:cNvPr id="20" name="Isosceles Triangle 19">
          <a:extLst>
            <a:ext uri="{FF2B5EF4-FFF2-40B4-BE49-F238E27FC236}">
              <a16:creationId xmlns:a16="http://schemas.microsoft.com/office/drawing/2014/main" id="{8F71B7DE-7CBE-35D6-FAA7-C3713339BD34}"/>
            </a:ext>
          </a:extLst>
        </xdr:cNvPr>
        <xdr:cNvSpPr/>
      </xdr:nvSpPr>
      <xdr:spPr>
        <a:xfrm>
          <a:off x="1113886" y="826770"/>
          <a:ext cx="548640" cy="472966"/>
        </a:xfrm>
        <a:prstGeom prst="triangl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393116</xdr:colOff>
      <xdr:row>4</xdr:row>
      <xdr:rowOff>129017</xdr:rowOff>
    </xdr:from>
    <xdr:ext cx="770981" cy="405432"/>
    <xdr:sp macro="" textlink="">
      <xdr:nvSpPr>
        <xdr:cNvPr id="21" name="TextBox 20">
          <a:extLst>
            <a:ext uri="{FF2B5EF4-FFF2-40B4-BE49-F238E27FC236}">
              <a16:creationId xmlns:a16="http://schemas.microsoft.com/office/drawing/2014/main" id="{180CBCA1-673B-B494-E9B4-9093821B64F8}"/>
            </a:ext>
          </a:extLst>
        </xdr:cNvPr>
        <xdr:cNvSpPr txBox="1"/>
      </xdr:nvSpPr>
      <xdr:spPr>
        <a:xfrm>
          <a:off x="1002716" y="860537"/>
          <a:ext cx="77098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000" b="1"/>
            <a:t>L</a:t>
          </a:r>
          <a:r>
            <a:rPr lang="en-US" sz="2000" b="1" baseline="0"/>
            <a:t> I L A</a:t>
          </a:r>
          <a:endParaRPr lang="en-US" sz="2000" b="1"/>
        </a:p>
      </xdr:txBody>
    </xdr:sp>
    <xdr:clientData/>
  </xdr:oneCellAnchor>
  <xdr:twoCellAnchor editAs="oneCell">
    <xdr:from>
      <xdr:col>1</xdr:col>
      <xdr:colOff>133350</xdr:colOff>
      <xdr:row>17</xdr:row>
      <xdr:rowOff>99061</xdr:rowOff>
    </xdr:from>
    <xdr:to>
      <xdr:col>3</xdr:col>
      <xdr:colOff>483870</xdr:colOff>
      <xdr:row>29</xdr:row>
      <xdr:rowOff>45721</xdr:rowOff>
    </xdr:to>
    <mc:AlternateContent xmlns:mc="http://schemas.openxmlformats.org/markup-compatibility/2006">
      <mc:Choice xmlns:a14="http://schemas.microsoft.com/office/drawing/2010/main" Requires="a14">
        <xdr:graphicFrame macro="">
          <xdr:nvGraphicFramePr>
            <xdr:cNvPr id="22" name="Salesman 1">
              <a:extLst>
                <a:ext uri="{FF2B5EF4-FFF2-40B4-BE49-F238E27FC236}">
                  <a16:creationId xmlns:a16="http://schemas.microsoft.com/office/drawing/2014/main" id="{ACECFD1F-B8E4-4194-AB2F-AFD30DF1485C}"/>
                </a:ext>
              </a:extLst>
            </xdr:cNvPr>
            <xdr:cNvGraphicFramePr/>
          </xdr:nvGraphicFramePr>
          <xdr:xfrm>
            <a:off x="0" y="0"/>
            <a:ext cx="0" cy="0"/>
          </xdr:xfrm>
          <a:graphic>
            <a:graphicData uri="http://schemas.microsoft.com/office/drawing/2010/slicer">
              <sle:slicer xmlns:sle="http://schemas.microsoft.com/office/drawing/2010/slicer" name="Salesman 1"/>
            </a:graphicData>
          </a:graphic>
        </xdr:graphicFrame>
      </mc:Choice>
      <mc:Fallback>
        <xdr:sp macro="" textlink="">
          <xdr:nvSpPr>
            <xdr:cNvPr id="0" name=""/>
            <xdr:cNvSpPr>
              <a:spLocks noTextEdit="1"/>
            </xdr:cNvSpPr>
          </xdr:nvSpPr>
          <xdr:spPr>
            <a:xfrm>
              <a:off x="742950" y="3208021"/>
              <a:ext cx="1569720" cy="2141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121920</xdr:colOff>
      <xdr:row>30</xdr:row>
      <xdr:rowOff>68581</xdr:rowOff>
    </xdr:from>
    <xdr:to>
      <xdr:col>3</xdr:col>
      <xdr:colOff>475488</xdr:colOff>
      <xdr:row>44</xdr:row>
      <xdr:rowOff>53341</xdr:rowOff>
    </xdr:to>
    <mc:AlternateContent xmlns:mc="http://schemas.openxmlformats.org/markup-compatibility/2006">
      <mc:Choice xmlns:a14="http://schemas.microsoft.com/office/drawing/2010/main" Requires="a14">
        <xdr:graphicFrame macro="">
          <xdr:nvGraphicFramePr>
            <xdr:cNvPr id="24" name="Region 1">
              <a:extLst>
                <a:ext uri="{FF2B5EF4-FFF2-40B4-BE49-F238E27FC236}">
                  <a16:creationId xmlns:a16="http://schemas.microsoft.com/office/drawing/2014/main" id="{AED8E38F-CCF6-4DC3-9AF5-35D935D4092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31520" y="5554981"/>
              <a:ext cx="1572768" cy="2545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365760</xdr:colOff>
      <xdr:row>7</xdr:row>
      <xdr:rowOff>53340</xdr:rowOff>
    </xdr:from>
    <xdr:to>
      <xdr:col>22</xdr:col>
      <xdr:colOff>45720</xdr:colOff>
      <xdr:row>13</xdr:row>
      <xdr:rowOff>137160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712F1F2D-AA36-429E-889B-E6B299DD56A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376660" y="1333500"/>
              <a:ext cx="3337560"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304800</xdr:colOff>
      <xdr:row>1</xdr:row>
      <xdr:rowOff>38100</xdr:rowOff>
    </xdr:from>
    <xdr:to>
      <xdr:col>17</xdr:col>
      <xdr:colOff>0</xdr:colOff>
      <xdr:row>16</xdr:row>
      <xdr:rowOff>38100</xdr:rowOff>
    </xdr:to>
    <xdr:graphicFrame macro="">
      <xdr:nvGraphicFramePr>
        <xdr:cNvPr id="4" name="Chart 3">
          <a:extLst>
            <a:ext uri="{FF2B5EF4-FFF2-40B4-BE49-F238E27FC236}">
              <a16:creationId xmlns:a16="http://schemas.microsoft.com/office/drawing/2014/main" id="{4C5959A1-3B9A-CB8F-1D33-63BFD6A5D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129540</xdr:rowOff>
    </xdr:from>
    <xdr:to>
      <xdr:col>6</xdr:col>
      <xdr:colOff>220980</xdr:colOff>
      <xdr:row>27</xdr:row>
      <xdr:rowOff>129540</xdr:rowOff>
    </xdr:to>
    <xdr:graphicFrame macro="">
      <xdr:nvGraphicFramePr>
        <xdr:cNvPr id="5" name="Chart 4">
          <a:extLst>
            <a:ext uri="{FF2B5EF4-FFF2-40B4-BE49-F238E27FC236}">
              <a16:creationId xmlns:a16="http://schemas.microsoft.com/office/drawing/2014/main" id="{16128143-2187-D852-FA66-B541680348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411480</xdr:colOff>
      <xdr:row>7</xdr:row>
      <xdr:rowOff>60960</xdr:rowOff>
    </xdr:from>
    <xdr:to>
      <xdr:col>16</xdr:col>
      <xdr:colOff>152400</xdr:colOff>
      <xdr:row>22</xdr:row>
      <xdr:rowOff>60960</xdr:rowOff>
    </xdr:to>
    <xdr:graphicFrame macro="">
      <xdr:nvGraphicFramePr>
        <xdr:cNvPr id="2" name="Chart 1">
          <a:extLst>
            <a:ext uri="{FF2B5EF4-FFF2-40B4-BE49-F238E27FC236}">
              <a16:creationId xmlns:a16="http://schemas.microsoft.com/office/drawing/2014/main" id="{CAADD22A-C8F5-BBAA-D014-FD7AE6C57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632460</xdr:colOff>
      <xdr:row>28</xdr:row>
      <xdr:rowOff>15240</xdr:rowOff>
    </xdr:from>
    <xdr:to>
      <xdr:col>20</xdr:col>
      <xdr:colOff>7620</xdr:colOff>
      <xdr:row>43</xdr:row>
      <xdr:rowOff>15240</xdr:rowOff>
    </xdr:to>
    <xdr:graphicFrame macro="">
      <xdr:nvGraphicFramePr>
        <xdr:cNvPr id="6" name="Chart 5">
          <a:extLst>
            <a:ext uri="{FF2B5EF4-FFF2-40B4-BE49-F238E27FC236}">
              <a16:creationId xmlns:a16="http://schemas.microsoft.com/office/drawing/2014/main" id="{549F7B4A-9521-5BE4-7582-2081B0F71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266700</xdr:colOff>
      <xdr:row>25</xdr:row>
      <xdr:rowOff>91440</xdr:rowOff>
    </xdr:from>
    <xdr:to>
      <xdr:col>12</xdr:col>
      <xdr:colOff>632460</xdr:colOff>
      <xdr:row>39</xdr:row>
      <xdr:rowOff>112395</xdr:rowOff>
    </xdr:to>
    <mc:AlternateContent xmlns:mc="http://schemas.openxmlformats.org/markup-compatibility/2006">
      <mc:Choice xmlns:a14="http://schemas.microsoft.com/office/drawing/2010/main" Requires="a14">
        <xdr:graphicFrame macro="">
          <xdr:nvGraphicFramePr>
            <xdr:cNvPr id="7" name="Salesman">
              <a:extLst>
                <a:ext uri="{FF2B5EF4-FFF2-40B4-BE49-F238E27FC236}">
                  <a16:creationId xmlns:a16="http://schemas.microsoft.com/office/drawing/2014/main" id="{41548F97-45E9-3AF9-2932-DBB2F04E2BEB}"/>
                </a:ext>
              </a:extLst>
            </xdr:cNvPr>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dr:sp macro="" textlink="">
          <xdr:nvSpPr>
            <xdr:cNvPr id="0" name=""/>
            <xdr:cNvSpPr>
              <a:spLocks noTextEdit="1"/>
            </xdr:cNvSpPr>
          </xdr:nvSpPr>
          <xdr:spPr>
            <a:xfrm>
              <a:off x="7749540" y="46634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297180</xdr:colOff>
      <xdr:row>24</xdr:row>
      <xdr:rowOff>45720</xdr:rowOff>
    </xdr:from>
    <xdr:to>
      <xdr:col>7</xdr:col>
      <xdr:colOff>83820</xdr:colOff>
      <xdr:row>38</xdr:row>
      <xdr:rowOff>66675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BC4471B6-4848-1900-A3FB-F956A41E9C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345180" y="44348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NKPAD" refreshedDate="46309.977522453701" createdVersion="8" refreshedVersion="8" minRefreshableVersion="3" recordCount="40" xr:uid="{FFB1D962-FE14-49D9-BFDB-4943184A39C0}">
  <cacheSource type="worksheet">
    <worksheetSource name="sales"/>
  </cacheSource>
  <cacheFields count="10">
    <cacheField name="S No" numFmtId="0">
      <sharedItems containsSemiMixedTypes="0" containsString="0" containsNumber="1" containsInteger="1" minValue="1" maxValue="40"/>
    </cacheField>
    <cacheField name="Date" numFmtId="14">
      <sharedItems containsSemiMixedTypes="0" containsNonDate="0" containsDate="1" containsString="0" minDate="2023-01-01T00:00:00" maxDate="2023-02-10T00:00:00" count="4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sharedItems>
      <fieldGroup par="9"/>
    </cacheField>
    <cacheField name="Salesman" numFmtId="0">
      <sharedItems count="6">
        <s v="Ahmed Said"/>
        <s v="Ali Ramadan"/>
        <s v="Ashraf Zaki"/>
        <s v="Fathy Ali"/>
        <s v="Tamer Mohamed"/>
        <s v="Khaled Hassan"/>
      </sharedItems>
    </cacheField>
    <cacheField name="Region" numFmtId="0">
      <sharedItems count="4">
        <s v="Cairo"/>
        <s v="Domietta"/>
        <s v="Giza"/>
        <s v="Alexandria"/>
      </sharedItems>
    </cacheField>
    <cacheField name="Item" numFmtId="0">
      <sharedItems count="8">
        <s v="Mouse"/>
        <s v="Scanner"/>
        <s v="Printer"/>
        <s v="Laptop"/>
        <s v="Speaker"/>
        <s v="Monitor"/>
        <s v="Headset"/>
        <s v="Keyboard"/>
      </sharedItems>
    </cacheField>
    <cacheField name="Qty" numFmtId="0">
      <sharedItems containsSemiMixedTypes="0" containsString="0" containsNumber="1" containsInteger="1" minValue="1" maxValue="8"/>
    </cacheField>
    <cacheField name="Price" numFmtId="0">
      <sharedItems containsSemiMixedTypes="0" containsString="0" containsNumber="1" containsInteger="1" minValue="190" maxValue="8500"/>
    </cacheField>
    <cacheField name="Amount" numFmtId="0">
      <sharedItems containsSemiMixedTypes="0" containsString="0" containsNumber="1" containsInteger="1" minValue="190" maxValue="68000" count="28">
        <n v="1050"/>
        <n v="4500"/>
        <n v="14700"/>
        <n v="420"/>
        <n v="1500"/>
        <n v="34000"/>
        <n v="300"/>
        <n v="51000"/>
        <n v="4800"/>
        <n v="4200"/>
        <n v="12600"/>
        <n v="1800"/>
        <n v="2100"/>
        <n v="600"/>
        <n v="2700"/>
        <n v="1140"/>
        <n v="42500"/>
        <n v="190"/>
        <n v="1260"/>
        <n v="760"/>
        <n v="68000"/>
        <n v="900"/>
        <n v="6300"/>
        <n v="17000"/>
        <n v="380"/>
        <n v="25500"/>
        <n v="10500"/>
        <n v="7200"/>
      </sharedItems>
    </cacheField>
    <cacheField name="Days (Date)" numFmtId="0" databaseField="0">
      <fieldGroup base="1">
        <rangePr groupBy="days" startDate="2023-01-01T00:00:00" endDate="2023-02-10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0/2023"/>
        </groupItems>
      </fieldGroup>
    </cacheField>
    <cacheField name="Months (Date)" numFmtId="0" databaseField="0">
      <fieldGroup base="1">
        <rangePr groupBy="months" startDate="2023-01-01T00:00:00" endDate="2023-02-10T00:00:00"/>
        <groupItems count="14">
          <s v="&lt;1/1/2023"/>
          <s v="Jan"/>
          <s v="Feb"/>
          <s v="Mar"/>
          <s v="Apr"/>
          <s v="May"/>
          <s v="Jun"/>
          <s v="Jul"/>
          <s v="Aug"/>
          <s v="Sep"/>
          <s v="Oct"/>
          <s v="Nov"/>
          <s v="Dec"/>
          <s v="&gt;2/10/2023"/>
        </groupItems>
      </fieldGroup>
    </cacheField>
  </cacheFields>
  <extLst>
    <ext xmlns:x14="http://schemas.microsoft.com/office/spreadsheetml/2009/9/main" uri="{725AE2AE-9491-48be-B2B4-4EB974FC3084}">
      <x14:pivotCacheDefinition pivotCacheId="5481945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
    <x v="0"/>
    <x v="0"/>
    <x v="0"/>
    <x v="0"/>
    <n v="5"/>
    <n v="210"/>
    <x v="0"/>
  </r>
  <r>
    <n v="2"/>
    <x v="1"/>
    <x v="1"/>
    <x v="1"/>
    <x v="1"/>
    <n v="3"/>
    <n v="1500"/>
    <x v="1"/>
  </r>
  <r>
    <n v="3"/>
    <x v="2"/>
    <x v="2"/>
    <x v="0"/>
    <x v="2"/>
    <n v="7"/>
    <n v="2100"/>
    <x v="2"/>
  </r>
  <r>
    <n v="4"/>
    <x v="3"/>
    <x v="3"/>
    <x v="0"/>
    <x v="0"/>
    <n v="2"/>
    <n v="210"/>
    <x v="3"/>
  </r>
  <r>
    <n v="5"/>
    <x v="4"/>
    <x v="4"/>
    <x v="1"/>
    <x v="1"/>
    <n v="1"/>
    <n v="1500"/>
    <x v="4"/>
  </r>
  <r>
    <n v="6"/>
    <x v="5"/>
    <x v="5"/>
    <x v="1"/>
    <x v="3"/>
    <n v="4"/>
    <n v="8500"/>
    <x v="5"/>
  </r>
  <r>
    <n v="7"/>
    <x v="6"/>
    <x v="0"/>
    <x v="2"/>
    <x v="4"/>
    <n v="1"/>
    <n v="300"/>
    <x v="6"/>
  </r>
  <r>
    <n v="8"/>
    <x v="7"/>
    <x v="1"/>
    <x v="1"/>
    <x v="3"/>
    <n v="6"/>
    <n v="8500"/>
    <x v="7"/>
  </r>
  <r>
    <n v="9"/>
    <x v="8"/>
    <x v="2"/>
    <x v="3"/>
    <x v="5"/>
    <n v="4"/>
    <n v="1200"/>
    <x v="8"/>
  </r>
  <r>
    <n v="10"/>
    <x v="9"/>
    <x v="3"/>
    <x v="3"/>
    <x v="2"/>
    <n v="2"/>
    <n v="2100"/>
    <x v="9"/>
  </r>
  <r>
    <n v="11"/>
    <x v="10"/>
    <x v="4"/>
    <x v="2"/>
    <x v="2"/>
    <n v="6"/>
    <n v="2100"/>
    <x v="10"/>
  </r>
  <r>
    <n v="12"/>
    <x v="11"/>
    <x v="5"/>
    <x v="3"/>
    <x v="4"/>
    <n v="1"/>
    <n v="300"/>
    <x v="6"/>
  </r>
  <r>
    <n v="13"/>
    <x v="12"/>
    <x v="0"/>
    <x v="2"/>
    <x v="2"/>
    <n v="7"/>
    <n v="2100"/>
    <x v="2"/>
  </r>
  <r>
    <n v="14"/>
    <x v="13"/>
    <x v="1"/>
    <x v="0"/>
    <x v="4"/>
    <n v="6"/>
    <n v="300"/>
    <x v="11"/>
  </r>
  <r>
    <n v="15"/>
    <x v="14"/>
    <x v="2"/>
    <x v="1"/>
    <x v="2"/>
    <n v="1"/>
    <n v="2100"/>
    <x v="12"/>
  </r>
  <r>
    <n v="16"/>
    <x v="15"/>
    <x v="3"/>
    <x v="1"/>
    <x v="4"/>
    <n v="2"/>
    <n v="300"/>
    <x v="13"/>
  </r>
  <r>
    <n v="17"/>
    <x v="16"/>
    <x v="4"/>
    <x v="1"/>
    <x v="2"/>
    <n v="7"/>
    <n v="2100"/>
    <x v="2"/>
  </r>
  <r>
    <n v="18"/>
    <x v="17"/>
    <x v="5"/>
    <x v="3"/>
    <x v="6"/>
    <n v="6"/>
    <n v="450"/>
    <x v="14"/>
  </r>
  <r>
    <n v="19"/>
    <x v="18"/>
    <x v="0"/>
    <x v="1"/>
    <x v="7"/>
    <n v="6"/>
    <n v="190"/>
    <x v="15"/>
  </r>
  <r>
    <n v="20"/>
    <x v="19"/>
    <x v="1"/>
    <x v="1"/>
    <x v="4"/>
    <n v="2"/>
    <n v="300"/>
    <x v="13"/>
  </r>
  <r>
    <n v="21"/>
    <x v="20"/>
    <x v="2"/>
    <x v="1"/>
    <x v="1"/>
    <n v="3"/>
    <n v="1500"/>
    <x v="1"/>
  </r>
  <r>
    <n v="22"/>
    <x v="21"/>
    <x v="3"/>
    <x v="2"/>
    <x v="3"/>
    <n v="5"/>
    <n v="8500"/>
    <x v="16"/>
  </r>
  <r>
    <n v="23"/>
    <x v="22"/>
    <x v="4"/>
    <x v="1"/>
    <x v="7"/>
    <n v="1"/>
    <n v="190"/>
    <x v="17"/>
  </r>
  <r>
    <n v="24"/>
    <x v="23"/>
    <x v="5"/>
    <x v="1"/>
    <x v="0"/>
    <n v="6"/>
    <n v="210"/>
    <x v="18"/>
  </r>
  <r>
    <n v="25"/>
    <x v="24"/>
    <x v="0"/>
    <x v="2"/>
    <x v="4"/>
    <n v="2"/>
    <n v="300"/>
    <x v="13"/>
  </r>
  <r>
    <n v="26"/>
    <x v="25"/>
    <x v="1"/>
    <x v="1"/>
    <x v="7"/>
    <n v="4"/>
    <n v="190"/>
    <x v="19"/>
  </r>
  <r>
    <n v="27"/>
    <x v="26"/>
    <x v="2"/>
    <x v="2"/>
    <x v="3"/>
    <n v="8"/>
    <n v="8500"/>
    <x v="20"/>
  </r>
  <r>
    <n v="28"/>
    <x v="27"/>
    <x v="3"/>
    <x v="1"/>
    <x v="4"/>
    <n v="3"/>
    <n v="300"/>
    <x v="21"/>
  </r>
  <r>
    <n v="29"/>
    <x v="28"/>
    <x v="4"/>
    <x v="1"/>
    <x v="4"/>
    <n v="7"/>
    <n v="300"/>
    <x v="12"/>
  </r>
  <r>
    <n v="30"/>
    <x v="29"/>
    <x v="5"/>
    <x v="2"/>
    <x v="7"/>
    <n v="4"/>
    <n v="190"/>
    <x v="19"/>
  </r>
  <r>
    <n v="31"/>
    <x v="30"/>
    <x v="0"/>
    <x v="1"/>
    <x v="6"/>
    <n v="2"/>
    <n v="450"/>
    <x v="21"/>
  </r>
  <r>
    <n v="32"/>
    <x v="31"/>
    <x v="1"/>
    <x v="0"/>
    <x v="2"/>
    <n v="3"/>
    <n v="2100"/>
    <x v="22"/>
  </r>
  <r>
    <n v="33"/>
    <x v="32"/>
    <x v="2"/>
    <x v="1"/>
    <x v="3"/>
    <n v="2"/>
    <n v="8500"/>
    <x v="23"/>
  </r>
  <r>
    <n v="34"/>
    <x v="33"/>
    <x v="3"/>
    <x v="2"/>
    <x v="3"/>
    <n v="8"/>
    <n v="8500"/>
    <x v="20"/>
  </r>
  <r>
    <n v="35"/>
    <x v="34"/>
    <x v="4"/>
    <x v="3"/>
    <x v="0"/>
    <n v="2"/>
    <n v="210"/>
    <x v="3"/>
  </r>
  <r>
    <n v="36"/>
    <x v="35"/>
    <x v="5"/>
    <x v="3"/>
    <x v="7"/>
    <n v="2"/>
    <n v="190"/>
    <x v="24"/>
  </r>
  <r>
    <n v="37"/>
    <x v="36"/>
    <x v="0"/>
    <x v="3"/>
    <x v="3"/>
    <n v="3"/>
    <n v="8500"/>
    <x v="25"/>
  </r>
  <r>
    <n v="38"/>
    <x v="37"/>
    <x v="1"/>
    <x v="2"/>
    <x v="0"/>
    <n v="5"/>
    <n v="210"/>
    <x v="0"/>
  </r>
  <r>
    <n v="39"/>
    <x v="38"/>
    <x v="2"/>
    <x v="1"/>
    <x v="2"/>
    <n v="5"/>
    <n v="2100"/>
    <x v="26"/>
  </r>
  <r>
    <n v="40"/>
    <x v="39"/>
    <x v="3"/>
    <x v="1"/>
    <x v="5"/>
    <n v="6"/>
    <n v="1200"/>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24B9DB-16A8-46B5-A956-2588C79515CB}"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H35:I42" firstHeaderRow="1" firstDataRow="1" firstDataCol="1"/>
  <pivotFields count="10">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axis="axisRow" showAll="0" sortType="ascending">
      <items count="7">
        <item x="0"/>
        <item x="1"/>
        <item x="2"/>
        <item x="3"/>
        <item x="5"/>
        <item x="4"/>
        <item t="default"/>
      </items>
    </pivotField>
    <pivotField showAll="0">
      <items count="5">
        <item h="1" x="3"/>
        <item h="1" x="0"/>
        <item x="1"/>
        <item h="1" x="2"/>
        <item t="default"/>
      </items>
    </pivotField>
    <pivotField showAll="0">
      <items count="9">
        <item x="6"/>
        <item x="7"/>
        <item x="3"/>
        <item x="5"/>
        <item x="0"/>
        <item x="2"/>
        <item x="1"/>
        <item x="4"/>
        <item t="default"/>
      </items>
    </pivotField>
    <pivotField showAll="0"/>
    <pivotField showAll="0"/>
    <pivotField dataField="1" showAll="0">
      <items count="29">
        <item x="17"/>
        <item x="6"/>
        <item x="24"/>
        <item x="3"/>
        <item x="13"/>
        <item x="19"/>
        <item x="21"/>
        <item x="0"/>
        <item x="15"/>
        <item x="18"/>
        <item x="4"/>
        <item x="11"/>
        <item x="12"/>
        <item x="14"/>
        <item x="9"/>
        <item x="1"/>
        <item x="8"/>
        <item x="22"/>
        <item x="27"/>
        <item x="26"/>
        <item x="10"/>
        <item x="2"/>
        <item x="23"/>
        <item x="25"/>
        <item x="5"/>
        <item x="16"/>
        <item x="7"/>
        <item x="2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formats count="1">
    <format dxfId="348">
      <pivotArea outline="0" collapsedLevelsAreSubtotals="1" fieldPosition="0"/>
    </format>
  </formats>
  <chartFormats count="5">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478"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377406-EF9D-40FA-8C1C-85593D1E933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L21:M25" firstHeaderRow="1" firstDataRow="1" firstDataCol="1"/>
  <pivotFields count="10">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7">
        <item x="0"/>
        <item x="1"/>
        <item x="2"/>
        <item x="3"/>
        <item x="5"/>
        <item x="4"/>
        <item t="default"/>
      </items>
    </pivotField>
    <pivotField showAll="0">
      <items count="5">
        <item h="1" x="3"/>
        <item h="1" x="0"/>
        <item x="1"/>
        <item h="1" x="2"/>
        <item t="default"/>
      </items>
    </pivotField>
    <pivotField axis="axisRow" showAll="0" measureFilter="1" sortType="descending">
      <items count="9">
        <item x="6"/>
        <item x="7"/>
        <item x="3"/>
        <item x="5"/>
        <item x="0"/>
        <item x="2"/>
        <item x="1"/>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29">
        <item x="17"/>
        <item x="6"/>
        <item x="24"/>
        <item x="3"/>
        <item x="13"/>
        <item x="19"/>
        <item x="21"/>
        <item x="0"/>
        <item x="15"/>
        <item x="18"/>
        <item x="4"/>
        <item x="11"/>
        <item x="12"/>
        <item x="14"/>
        <item x="9"/>
        <item x="1"/>
        <item x="8"/>
        <item x="22"/>
        <item x="27"/>
        <item x="26"/>
        <item x="10"/>
        <item x="2"/>
        <item x="23"/>
        <item x="25"/>
        <item x="5"/>
        <item x="16"/>
        <item x="7"/>
        <item x="2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2"/>
    </i>
    <i>
      <x v="5"/>
    </i>
    <i>
      <x v="6"/>
    </i>
    <i t="grand">
      <x/>
    </i>
  </rowItems>
  <colItems count="1">
    <i/>
  </colItems>
  <dataFields count="1">
    <dataField name="Sum of Amount" fld="7" baseField="0" baseItem="0"/>
  </dataFields>
  <formats count="1">
    <format dxfId="349">
      <pivotArea outline="0" collapsedLevelsAreSubtotals="1" fieldPosition="0"/>
    </format>
  </formats>
  <chartFormats count="5">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479"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 fld="4" type="count" evalOrder="-1" id="26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5387BD-8EFF-428C-8AAB-833B9D93326E}"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H20:I22" firstHeaderRow="1" firstDataRow="1" firstDataCol="1"/>
  <pivotFields count="10">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7">
        <item x="0"/>
        <item x="1"/>
        <item x="2"/>
        <item x="3"/>
        <item x="5"/>
        <item x="4"/>
        <item t="default"/>
      </items>
    </pivotField>
    <pivotField axis="axisRow" showAll="0">
      <items count="5">
        <item h="1" x="3"/>
        <item h="1" x="0"/>
        <item x="1"/>
        <item h="1" x="2"/>
        <item t="default"/>
      </items>
    </pivotField>
    <pivotField showAll="0">
      <items count="9">
        <item x="6"/>
        <item x="7"/>
        <item x="3"/>
        <item x="5"/>
        <item x="0"/>
        <item x="2"/>
        <item x="1"/>
        <item x="4"/>
        <item t="default"/>
      </items>
    </pivotField>
    <pivotField showAll="0"/>
    <pivotField showAll="0"/>
    <pivotField dataField="1" showAll="0">
      <items count="29">
        <item x="17"/>
        <item x="6"/>
        <item x="24"/>
        <item x="3"/>
        <item x="13"/>
        <item x="19"/>
        <item x="21"/>
        <item x="0"/>
        <item x="15"/>
        <item x="18"/>
        <item x="4"/>
        <item x="11"/>
        <item x="12"/>
        <item x="14"/>
        <item x="9"/>
        <item x="1"/>
        <item x="8"/>
        <item x="22"/>
        <item x="27"/>
        <item x="26"/>
        <item x="10"/>
        <item x="2"/>
        <item x="23"/>
        <item x="25"/>
        <item x="5"/>
        <item x="16"/>
        <item x="7"/>
        <item x="2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2">
    <i>
      <x v="2"/>
    </i>
    <i t="grand">
      <x/>
    </i>
  </rowItems>
  <colItems count="1">
    <i/>
  </colItems>
  <dataFields count="1">
    <dataField name="Sum of Amount" fld="7" baseField="0" baseItem="0"/>
  </dataFields>
  <formats count="1">
    <format dxfId="350">
      <pivotArea outline="0" collapsedLevelsAreSubtotals="1" fieldPosition="0"/>
    </format>
  </formats>
  <chartFormats count="15">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3"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 chart="4" format="5">
      <pivotArea type="data" outline="0" fieldPosition="0">
        <references count="2">
          <reference field="4294967294" count="1" selected="0">
            <x v="0"/>
          </reference>
          <reference field="3"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 chart="5" format="9">
      <pivotArea type="data" outline="0" fieldPosition="0">
        <references count="2">
          <reference field="4294967294" count="1" selected="0">
            <x v="0"/>
          </reference>
          <reference field="3" count="1" selected="0">
            <x v="2"/>
          </reference>
        </references>
      </pivotArea>
    </chartFormat>
    <chartFormat chart="5" format="10">
      <pivotArea type="data" outline="0" fieldPosition="0">
        <references count="2">
          <reference field="4294967294" count="1" selected="0">
            <x v="0"/>
          </reference>
          <reference field="3" count="1" selected="0">
            <x v="3"/>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1" type="dateBetween" evalOrder="-1" id="477"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DCBE86-DE74-4357-B405-7E7C9F6C13A1}"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H5:I8" firstHeaderRow="1" firstDataRow="1" firstDataCol="1"/>
  <pivotFields count="10">
    <pivotField showAll="0"/>
    <pivotField axis="axisRow"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7">
        <item x="0"/>
        <item x="1"/>
        <item x="2"/>
        <item x="3"/>
        <item x="5"/>
        <item x="4"/>
        <item t="default"/>
      </items>
    </pivotField>
    <pivotField showAll="0">
      <items count="5">
        <item h="1" x="3"/>
        <item h="1" x="0"/>
        <item x="1"/>
        <item h="1" x="2"/>
        <item t="default"/>
      </items>
    </pivotField>
    <pivotField showAll="0">
      <items count="9">
        <item x="6"/>
        <item x="7"/>
        <item x="3"/>
        <item x="5"/>
        <item x="0"/>
        <item x="2"/>
        <item x="1"/>
        <item x="4"/>
        <item t="default"/>
      </items>
    </pivotField>
    <pivotField showAll="0"/>
    <pivotField showAll="0"/>
    <pivotField dataField="1" showAll="0">
      <items count="29">
        <item x="17"/>
        <item x="6"/>
        <item x="24"/>
        <item x="3"/>
        <item x="13"/>
        <item x="19"/>
        <item x="21"/>
        <item x="0"/>
        <item x="15"/>
        <item x="18"/>
        <item x="4"/>
        <item x="11"/>
        <item x="12"/>
        <item x="14"/>
        <item x="9"/>
        <item x="1"/>
        <item x="8"/>
        <item x="22"/>
        <item x="27"/>
        <item x="26"/>
        <item x="10"/>
        <item x="2"/>
        <item x="23"/>
        <item x="25"/>
        <item x="5"/>
        <item x="16"/>
        <item x="7"/>
        <item x="2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1"/>
  </rowFields>
  <rowItems count="3">
    <i>
      <x v="1"/>
    </i>
    <i>
      <x v="2"/>
    </i>
    <i t="grand">
      <x/>
    </i>
  </rowItems>
  <colItems count="1">
    <i/>
  </colItems>
  <dataFields count="1">
    <dataField name="Sum of Amount" fld="7" baseField="0" baseItem="0"/>
  </dataFields>
  <formats count="1">
    <format dxfId="35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477"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4FEEDC-EEE3-49C4-A2FB-AE1EFBA9B27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5:E6" firstHeaderRow="1" firstDataRow="1" firstDataCol="0"/>
  <pivotFields count="10">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7">
        <item x="0"/>
        <item x="1"/>
        <item x="2"/>
        <item x="3"/>
        <item x="5"/>
        <item x="4"/>
        <item t="default"/>
      </items>
    </pivotField>
    <pivotField showAll="0">
      <items count="5">
        <item h="1" x="3"/>
        <item h="1" x="0"/>
        <item x="1"/>
        <item h="1" x="2"/>
        <item t="default"/>
      </items>
    </pivotField>
    <pivotField showAll="0">
      <items count="9">
        <item x="6"/>
        <item x="7"/>
        <item x="3"/>
        <item x="5"/>
        <item x="0"/>
        <item x="2"/>
        <item x="1"/>
        <item x="4"/>
        <item t="default"/>
      </items>
    </pivotField>
    <pivotField showAll="0"/>
    <pivotField showAll="0"/>
    <pivotField dataField="1" showAll="0">
      <items count="29">
        <item x="17"/>
        <item x="6"/>
        <item x="24"/>
        <item x="3"/>
        <item x="13"/>
        <item x="19"/>
        <item x="21"/>
        <item x="0"/>
        <item x="15"/>
        <item x="18"/>
        <item x="4"/>
        <item x="11"/>
        <item x="12"/>
        <item x="14"/>
        <item x="9"/>
        <item x="1"/>
        <item x="8"/>
        <item x="22"/>
        <item x="27"/>
        <item x="26"/>
        <item x="10"/>
        <item x="2"/>
        <item x="23"/>
        <item x="25"/>
        <item x="5"/>
        <item x="16"/>
        <item x="7"/>
        <item x="2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G SALES" fld="7" subtotal="average" baseField="0" baseItem="0"/>
  </dataFields>
  <formats count="1">
    <format dxfId="352">
      <pivotArea outline="0" collapsedLevelsAreSubtotals="1" fieldPosition="0"/>
    </format>
  </formats>
  <pivotTableStyleInfo name="PivotStyleLight16" showRowHeaders="1" showColHeaders="1" showRowStripes="0" showColStripes="0" showLastColumn="1"/>
  <filters count="1">
    <filter fld="1" type="dateBetween" evalOrder="-1" id="477"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5D8BDC-BD52-413E-910B-58A138F0B6C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5:C6" firstHeaderRow="1" firstDataRow="1" firstDataCol="0"/>
  <pivotFields count="10">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7">
        <item x="0"/>
        <item x="1"/>
        <item x="2"/>
        <item x="3"/>
        <item x="5"/>
        <item x="4"/>
        <item t="default"/>
      </items>
    </pivotField>
    <pivotField showAll="0">
      <items count="5">
        <item h="1" x="3"/>
        <item h="1" x="0"/>
        <item x="1"/>
        <item h="1" x="2"/>
        <item t="default"/>
      </items>
    </pivotField>
    <pivotField dataField="1" showAll="0">
      <items count="9">
        <item x="6"/>
        <item x="7"/>
        <item x="3"/>
        <item x="5"/>
        <item x="0"/>
        <item x="2"/>
        <item x="1"/>
        <item x="4"/>
        <item t="default"/>
      </items>
    </pivotField>
    <pivotField showAll="0"/>
    <pivotField showAll="0"/>
    <pivotField showAll="0">
      <items count="29">
        <item x="17"/>
        <item x="6"/>
        <item x="24"/>
        <item x="3"/>
        <item x="13"/>
        <item x="19"/>
        <item x="21"/>
        <item x="0"/>
        <item x="15"/>
        <item x="18"/>
        <item x="4"/>
        <item x="11"/>
        <item x="12"/>
        <item x="14"/>
        <item x="9"/>
        <item x="1"/>
        <item x="8"/>
        <item x="22"/>
        <item x="27"/>
        <item x="26"/>
        <item x="10"/>
        <item x="2"/>
        <item x="23"/>
        <item x="25"/>
        <item x="5"/>
        <item x="16"/>
        <item x="7"/>
        <item x="2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ITEM" fld="4" subtotal="count" baseField="0" baseItem="0"/>
  </dataFields>
  <formats count="1">
    <format dxfId="353">
      <pivotArea outline="0" collapsedLevelsAreSubtotals="1" fieldPosition="0"/>
    </format>
  </formats>
  <pivotTableStyleInfo name="PivotStyleLight16" showRowHeaders="1" showColHeaders="1" showRowStripes="0" showColStripes="0" showLastColumn="1"/>
  <filters count="1">
    <filter fld="1" type="dateBetween" evalOrder="-1" id="470"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B74471-1F15-4675-88B3-E79C41D747E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A6" firstHeaderRow="1" firstDataRow="1" firstDataCol="0"/>
  <pivotFields count="10">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7">
        <item x="0"/>
        <item x="1"/>
        <item x="2"/>
        <item x="3"/>
        <item x="5"/>
        <item x="4"/>
        <item t="default"/>
      </items>
    </pivotField>
    <pivotField showAll="0">
      <items count="5">
        <item h="1" x="3"/>
        <item h="1" x="0"/>
        <item x="1"/>
        <item h="1" x="2"/>
        <item t="default"/>
      </items>
    </pivotField>
    <pivotField showAll="0">
      <items count="9">
        <item x="6"/>
        <item x="7"/>
        <item x="3"/>
        <item x="5"/>
        <item x="0"/>
        <item x="2"/>
        <item x="1"/>
        <item x="4"/>
        <item t="default"/>
      </items>
    </pivotField>
    <pivotField showAll="0"/>
    <pivotField showAll="0"/>
    <pivotField dataField="1" showAll="0">
      <items count="29">
        <item x="17"/>
        <item x="6"/>
        <item x="24"/>
        <item x="3"/>
        <item x="13"/>
        <item x="19"/>
        <item x="21"/>
        <item x="0"/>
        <item x="15"/>
        <item x="18"/>
        <item x="4"/>
        <item x="11"/>
        <item x="12"/>
        <item x="14"/>
        <item x="9"/>
        <item x="1"/>
        <item x="8"/>
        <item x="22"/>
        <item x="27"/>
        <item x="26"/>
        <item x="10"/>
        <item x="2"/>
        <item x="23"/>
        <item x="25"/>
        <item x="5"/>
        <item x="16"/>
        <item x="7"/>
        <item x="2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SALES" fld="7" baseField="0" baseItem="0"/>
  </dataFields>
  <formats count="1">
    <format dxfId="354">
      <pivotArea outline="0" collapsedLevelsAreSubtotals="1" fieldPosition="0"/>
    </format>
  </formats>
  <pivotTableStyleInfo name="PivotStyleLight16" showRowHeaders="1" showColHeaders="1" showRowStripes="0" showColStripes="0" showLastColumn="1"/>
  <filters count="1">
    <filter fld="1" type="dateBetween" evalOrder="-1" id="470"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5FE5043-C852-44A5-BF97-16E323DBE1F5}" autoFormatId="16" applyNumberFormats="0" applyBorderFormats="0" applyFontFormats="0" applyPatternFormats="0" applyAlignmentFormats="0" applyWidthHeightFormats="0">
  <queryTableRefresh nextId="9">
    <queryTableFields count="8">
      <queryTableField id="1" name="S No" tableColumnId="1"/>
      <queryTableField id="2" name="Date" tableColumnId="2"/>
      <queryTableField id="3" name="Salesman" tableColumnId="3"/>
      <queryTableField id="4" name="Region" tableColumnId="4"/>
      <queryTableField id="5" name="Item" tableColumnId="5"/>
      <queryTableField id="6" name="Qty" tableColumnId="6"/>
      <queryTableField id="7" name="Price" tableColumnId="7"/>
      <queryTableField id="8" name="Amoun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 xr10:uid="{FB6793B6-24A6-48C3-953A-7042A4319377}" sourceName="Salesman">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548194542">
      <items count="6">
        <i x="0" s="1"/>
        <i x="1" s="1"/>
        <i x="2" s="1"/>
        <i x="3"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6E0936-3738-4F54-BFBB-5DF14712AC6D}" sourceName="Region">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548194542">
      <items count="4">
        <i x="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1" xr10:uid="{B0813A65-02C1-49D2-9E9F-65CDFDF1159A}" cache="Slicer_Salesman" caption="Salesman" rowHeight="247650"/>
  <slicer name="Region 1" xr10:uid="{E3223445-0FF4-4A60-A5DF-67216457E98D}"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xr10:uid="{161A2E65-A067-4011-B4D5-390799157232}" cache="Slicer_Salesman" caption="Salesman" rowHeight="247650"/>
  <slicer name="Region" xr10:uid="{242EC33E-2411-4AC9-A475-16141AC49A62}" cache="Slicer_Region" caption="Region"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E5D27C-AE6B-4686-951B-ABFA64A7EEE3}" name="sales" displayName="sales" ref="A1:H41" tableType="queryTable" totalsRowShown="0">
  <autoFilter ref="A1:H41" xr:uid="{DAE5D27C-AE6B-4686-951B-ABFA64A7EEE3}"/>
  <tableColumns count="8">
    <tableColumn id="1" xr3:uid="{60EE4400-F973-4F15-948A-9008563AA622}" uniqueName="1" name="S No" queryTableFieldId="1"/>
    <tableColumn id="2" xr3:uid="{A8629C8B-F662-4D64-94C6-C7B97196A735}" uniqueName="2" name="Date" queryTableFieldId="2" dataDxfId="347"/>
    <tableColumn id="3" xr3:uid="{5C50CE82-4D1A-4C79-9D0F-247FE1CDFA5C}" uniqueName="3" name="Salesman" queryTableFieldId="3" dataDxfId="346"/>
    <tableColumn id="4" xr3:uid="{C594ECD2-D104-43F4-A766-C80694137000}" uniqueName="4" name="Region" queryTableFieldId="4" dataDxfId="345"/>
    <tableColumn id="5" xr3:uid="{4EBFE9AF-2CF8-4086-910A-E4FE148003F0}" uniqueName="5" name="Item" queryTableFieldId="5" dataDxfId="344"/>
    <tableColumn id="6" xr3:uid="{28BA1440-E926-4945-883F-D0FCD7D3BB97}" uniqueName="6" name="Qty" queryTableFieldId="6"/>
    <tableColumn id="7" xr3:uid="{9D812FB1-FCA4-4EB2-8FA6-297FD68B5A88}" uniqueName="7" name="Price" queryTableFieldId="7"/>
    <tableColumn id="8" xr3:uid="{076B1DB5-2FB3-4FA7-8121-F2E26FB13E54}" uniqueName="8" name="Amount" queryTableFieldId="8"/>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A08CDD6-FD3D-453E-AB64-7E0795993188}" sourceName="Date">
  <pivotTables>
    <pivotTable tabId="3" name="PivotTable2"/>
    <pivotTable tabId="3" name="PivotTable1"/>
    <pivotTable tabId="3" name="PivotTable3"/>
    <pivotTable tabId="3" name="PivotTable5"/>
    <pivotTable tabId="3" name="PivotTable6"/>
    <pivotTable tabId="3" name="PivotTable4"/>
    <pivotTable tabId="3" name="PivotTable7"/>
  </pivotTables>
  <state minimalRefreshVersion="6" lastRefreshVersion="6" pivotCacheId="548194542" filterType="dateBetween">
    <selection startDate="2023-01-01T00:00:00" endDate="2023-02-28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4BAC2FE9-C0D7-4F7A-AA2C-A32B2D77E7A4}" cache="NativeTimeline_Date" caption="Date" level="2" selectionLevel="2" scrollPosition="2023-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BE855AF-BCA8-4844-9C58-AD1748EA83F3}" cache="NativeTimeline_Date" caption="Date" showHorizontalScrollbar="0" level="2" selectionLevel="2" scrollPosition="2023-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2.xml"/><Relationship Id="rId4" Type="http://schemas.openxmlformats.org/officeDocument/2006/relationships/pivotTable" Target="../pivotTables/pivotTable4.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7FC4E-8D9E-4A1E-BCC5-B9D37254EE36}">
  <dimension ref="A1"/>
  <sheetViews>
    <sheetView showGridLines="0" tabSelected="1" workbookViewId="0">
      <selection activeCell="T15" sqref="T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9C905-6944-4F98-B4AE-37BE068CDF30}">
  <dimension ref="A2:M42"/>
  <sheetViews>
    <sheetView topLeftCell="A17" workbookViewId="0">
      <selection activeCell="H36" sqref="H36"/>
    </sheetView>
  </sheetViews>
  <sheetFormatPr defaultRowHeight="14.4" x14ac:dyDescent="0.3"/>
  <cols>
    <col min="1" max="1" width="11.6640625" bestFit="1" customWidth="1"/>
    <col min="2" max="2" width="13.5546875" bestFit="1" customWidth="1"/>
    <col min="3" max="3" width="10.33203125" bestFit="1" customWidth="1"/>
    <col min="5" max="5" width="12" bestFit="1" customWidth="1"/>
    <col min="8" max="8" width="12.44140625" bestFit="1" customWidth="1"/>
    <col min="9" max="9" width="13.5546875" bestFit="1" customWidth="1"/>
    <col min="12" max="12" width="12.44140625" bestFit="1" customWidth="1"/>
    <col min="13" max="13" width="13.5546875" bestFit="1" customWidth="1"/>
  </cols>
  <sheetData>
    <row r="2" spans="1:9" x14ac:dyDescent="0.3">
      <c r="A2" s="9" t="s">
        <v>32</v>
      </c>
      <c r="B2" s="9"/>
      <c r="C2" s="9"/>
      <c r="D2" s="9"/>
      <c r="E2" s="9"/>
    </row>
    <row r="5" spans="1:9" x14ac:dyDescent="0.3">
      <c r="A5" t="s">
        <v>29</v>
      </c>
      <c r="C5" t="s">
        <v>30</v>
      </c>
      <c r="E5" t="s">
        <v>31</v>
      </c>
      <c r="H5" s="4" t="s">
        <v>26</v>
      </c>
      <c r="I5" t="s">
        <v>28</v>
      </c>
    </row>
    <row r="6" spans="1:9" x14ac:dyDescent="0.3">
      <c r="A6" s="6">
        <v>155450</v>
      </c>
      <c r="C6" s="6">
        <v>19</v>
      </c>
      <c r="E6" s="6">
        <v>8181.5789473684208</v>
      </c>
      <c r="H6" s="5" t="s">
        <v>33</v>
      </c>
      <c r="I6" s="6">
        <v>120750</v>
      </c>
    </row>
    <row r="7" spans="1:9" x14ac:dyDescent="0.3">
      <c r="A7" s="7">
        <f>GETPIVOTDATA("Amount",$A$5)</f>
        <v>155450</v>
      </c>
      <c r="C7">
        <f>GETPIVOTDATA("Item",$C$5)</f>
        <v>19</v>
      </c>
      <c r="E7" s="8">
        <f>GETPIVOTDATA("Amount",$E$5)</f>
        <v>8181.5789473684208</v>
      </c>
      <c r="H7" s="5" t="s">
        <v>34</v>
      </c>
      <c r="I7" s="6">
        <v>34700</v>
      </c>
    </row>
    <row r="8" spans="1:9" x14ac:dyDescent="0.3">
      <c r="H8" s="5" t="s">
        <v>27</v>
      </c>
      <c r="I8" s="6">
        <v>155450</v>
      </c>
    </row>
    <row r="20" spans="8:13" x14ac:dyDescent="0.3">
      <c r="H20" s="4" t="s">
        <v>26</v>
      </c>
      <c r="I20" t="s">
        <v>28</v>
      </c>
    </row>
    <row r="21" spans="8:13" x14ac:dyDescent="0.3">
      <c r="H21" s="5" t="s">
        <v>12</v>
      </c>
      <c r="I21" s="6">
        <v>155450</v>
      </c>
      <c r="L21" s="4" t="s">
        <v>26</v>
      </c>
      <c r="M21" t="s">
        <v>28</v>
      </c>
    </row>
    <row r="22" spans="8:13" x14ac:dyDescent="0.3">
      <c r="H22" s="5" t="s">
        <v>27</v>
      </c>
      <c r="I22" s="6">
        <v>155450</v>
      </c>
      <c r="L22" s="5" t="s">
        <v>19</v>
      </c>
      <c r="M22" s="6">
        <v>102000</v>
      </c>
    </row>
    <row r="23" spans="8:13" x14ac:dyDescent="0.3">
      <c r="L23" s="5" t="s">
        <v>15</v>
      </c>
      <c r="M23" s="6">
        <v>27300</v>
      </c>
    </row>
    <row r="24" spans="8:13" x14ac:dyDescent="0.3">
      <c r="L24" s="5" t="s">
        <v>13</v>
      </c>
      <c r="M24" s="6">
        <v>10500</v>
      </c>
    </row>
    <row r="25" spans="8:13" x14ac:dyDescent="0.3">
      <c r="L25" s="5" t="s">
        <v>27</v>
      </c>
      <c r="M25" s="6">
        <v>139800</v>
      </c>
    </row>
    <row r="35" spans="8:9" x14ac:dyDescent="0.3">
      <c r="H35" s="4" t="s">
        <v>26</v>
      </c>
      <c r="I35" t="s">
        <v>28</v>
      </c>
    </row>
    <row r="36" spans="8:9" x14ac:dyDescent="0.3">
      <c r="H36" s="5" t="s">
        <v>8</v>
      </c>
      <c r="I36" s="6">
        <v>2040</v>
      </c>
    </row>
    <row r="37" spans="8:9" x14ac:dyDescent="0.3">
      <c r="H37" s="5" t="s">
        <v>11</v>
      </c>
      <c r="I37" s="6">
        <v>56860</v>
      </c>
    </row>
    <row r="38" spans="8:9" x14ac:dyDescent="0.3">
      <c r="H38" s="5" t="s">
        <v>14</v>
      </c>
      <c r="I38" s="6">
        <v>34100</v>
      </c>
    </row>
    <row r="39" spans="8:9" x14ac:dyDescent="0.3">
      <c r="H39" s="5" t="s">
        <v>16</v>
      </c>
      <c r="I39" s="6">
        <v>8700</v>
      </c>
    </row>
    <row r="40" spans="8:9" x14ac:dyDescent="0.3">
      <c r="H40" s="5" t="s">
        <v>18</v>
      </c>
      <c r="I40" s="6">
        <v>35260</v>
      </c>
    </row>
    <row r="41" spans="8:9" x14ac:dyDescent="0.3">
      <c r="H41" s="5" t="s">
        <v>17</v>
      </c>
      <c r="I41" s="6">
        <v>18490</v>
      </c>
    </row>
    <row r="42" spans="8:9" x14ac:dyDescent="0.3">
      <c r="H42" s="5" t="s">
        <v>27</v>
      </c>
      <c r="I42" s="6">
        <v>155450</v>
      </c>
    </row>
  </sheetData>
  <mergeCells count="1">
    <mergeCell ref="A2:E2"/>
  </mergeCells>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8A719-9DE1-494C-AEC9-6B8400C82FA6}">
  <dimension ref="A1:H41"/>
  <sheetViews>
    <sheetView workbookViewId="0">
      <selection activeCell="G15" sqref="G15"/>
    </sheetView>
  </sheetViews>
  <sheetFormatPr defaultRowHeight="14.4" x14ac:dyDescent="0.3"/>
  <cols>
    <col min="1" max="1" width="7" bestFit="1" customWidth="1"/>
    <col min="2" max="2" width="9.33203125" bestFit="1" customWidth="1"/>
    <col min="3" max="3" width="14.5546875" bestFit="1" customWidth="1"/>
    <col min="4" max="4" width="9.44140625" bestFit="1" customWidth="1"/>
    <col min="5" max="5" width="8.44140625" bestFit="1" customWidth="1"/>
    <col min="6" max="6" width="6.109375" bestFit="1" customWidth="1"/>
    <col min="7" max="7" width="7.5546875" bestFit="1" customWidth="1"/>
    <col min="8" max="8" width="9.6640625" bestFit="1" customWidth="1"/>
  </cols>
  <sheetData>
    <row r="1" spans="1:8" x14ac:dyDescent="0.3">
      <c r="A1" t="s">
        <v>0</v>
      </c>
      <c r="B1" t="s">
        <v>1</v>
      </c>
      <c r="C1" t="s">
        <v>2</v>
      </c>
      <c r="D1" t="s">
        <v>3</v>
      </c>
      <c r="E1" t="s">
        <v>4</v>
      </c>
      <c r="F1" t="s">
        <v>5</v>
      </c>
      <c r="G1" t="s">
        <v>6</v>
      </c>
      <c r="H1" t="s">
        <v>7</v>
      </c>
    </row>
    <row r="2" spans="1:8" x14ac:dyDescent="0.3">
      <c r="A2">
        <v>1</v>
      </c>
      <c r="B2" s="1">
        <v>44927</v>
      </c>
      <c r="C2" s="3" t="s">
        <v>8</v>
      </c>
      <c r="D2" s="3" t="s">
        <v>9</v>
      </c>
      <c r="E2" s="3" t="s">
        <v>10</v>
      </c>
      <c r="F2">
        <v>5</v>
      </c>
      <c r="G2">
        <v>210</v>
      </c>
      <c r="H2">
        <v>1050</v>
      </c>
    </row>
    <row r="3" spans="1:8" x14ac:dyDescent="0.3">
      <c r="A3">
        <v>2</v>
      </c>
      <c r="B3" s="1">
        <v>44928</v>
      </c>
      <c r="C3" s="3" t="s">
        <v>11</v>
      </c>
      <c r="D3" s="3" t="s">
        <v>12</v>
      </c>
      <c r="E3" s="3" t="s">
        <v>13</v>
      </c>
      <c r="F3">
        <v>3</v>
      </c>
      <c r="G3">
        <v>1500</v>
      </c>
      <c r="H3">
        <v>4500</v>
      </c>
    </row>
    <row r="4" spans="1:8" x14ac:dyDescent="0.3">
      <c r="A4">
        <v>3</v>
      </c>
      <c r="B4" s="1">
        <v>44929</v>
      </c>
      <c r="C4" s="3" t="s">
        <v>14</v>
      </c>
      <c r="D4" s="3" t="s">
        <v>9</v>
      </c>
      <c r="E4" s="3" t="s">
        <v>15</v>
      </c>
      <c r="F4">
        <v>7</v>
      </c>
      <c r="G4">
        <v>2100</v>
      </c>
      <c r="H4">
        <v>14700</v>
      </c>
    </row>
    <row r="5" spans="1:8" x14ac:dyDescent="0.3">
      <c r="A5">
        <v>4</v>
      </c>
      <c r="B5" s="1">
        <v>44930</v>
      </c>
      <c r="C5" s="3" t="s">
        <v>16</v>
      </c>
      <c r="D5" s="3" t="s">
        <v>9</v>
      </c>
      <c r="E5" s="3" t="s">
        <v>10</v>
      </c>
      <c r="F5">
        <v>2</v>
      </c>
      <c r="G5">
        <v>210</v>
      </c>
      <c r="H5">
        <v>420</v>
      </c>
    </row>
    <row r="6" spans="1:8" x14ac:dyDescent="0.3">
      <c r="A6">
        <v>5</v>
      </c>
      <c r="B6" s="1">
        <v>44931</v>
      </c>
      <c r="C6" s="3" t="s">
        <v>17</v>
      </c>
      <c r="D6" s="3" t="s">
        <v>12</v>
      </c>
      <c r="E6" s="3" t="s">
        <v>13</v>
      </c>
      <c r="F6">
        <v>1</v>
      </c>
      <c r="G6">
        <v>1500</v>
      </c>
      <c r="H6">
        <v>1500</v>
      </c>
    </row>
    <row r="7" spans="1:8" x14ac:dyDescent="0.3">
      <c r="A7">
        <v>6</v>
      </c>
      <c r="B7" s="1">
        <v>44932</v>
      </c>
      <c r="C7" s="3" t="s">
        <v>18</v>
      </c>
      <c r="D7" s="3" t="s">
        <v>12</v>
      </c>
      <c r="E7" s="3" t="s">
        <v>19</v>
      </c>
      <c r="F7">
        <v>4</v>
      </c>
      <c r="G7">
        <v>8500</v>
      </c>
      <c r="H7">
        <v>34000</v>
      </c>
    </row>
    <row r="8" spans="1:8" x14ac:dyDescent="0.3">
      <c r="A8">
        <v>7</v>
      </c>
      <c r="B8" s="1">
        <v>44933</v>
      </c>
      <c r="C8" s="3" t="s">
        <v>8</v>
      </c>
      <c r="D8" s="3" t="s">
        <v>20</v>
      </c>
      <c r="E8" s="3" t="s">
        <v>21</v>
      </c>
      <c r="F8">
        <v>1</v>
      </c>
      <c r="G8">
        <v>300</v>
      </c>
      <c r="H8">
        <v>300</v>
      </c>
    </row>
    <row r="9" spans="1:8" x14ac:dyDescent="0.3">
      <c r="A9">
        <v>8</v>
      </c>
      <c r="B9" s="1">
        <v>44934</v>
      </c>
      <c r="C9" s="3" t="s">
        <v>11</v>
      </c>
      <c r="D9" s="3" t="s">
        <v>12</v>
      </c>
      <c r="E9" s="3" t="s">
        <v>19</v>
      </c>
      <c r="F9">
        <v>6</v>
      </c>
      <c r="G9">
        <v>8500</v>
      </c>
      <c r="H9">
        <v>51000</v>
      </c>
    </row>
    <row r="10" spans="1:8" x14ac:dyDescent="0.3">
      <c r="A10">
        <v>9</v>
      </c>
      <c r="B10" s="1">
        <v>44935</v>
      </c>
      <c r="C10" s="3" t="s">
        <v>14</v>
      </c>
      <c r="D10" s="3" t="s">
        <v>22</v>
      </c>
      <c r="E10" s="3" t="s">
        <v>23</v>
      </c>
      <c r="F10">
        <v>4</v>
      </c>
      <c r="G10">
        <v>1200</v>
      </c>
      <c r="H10">
        <v>4800</v>
      </c>
    </row>
    <row r="11" spans="1:8" x14ac:dyDescent="0.3">
      <c r="A11">
        <v>10</v>
      </c>
      <c r="B11" s="1">
        <v>44936</v>
      </c>
      <c r="C11" s="3" t="s">
        <v>16</v>
      </c>
      <c r="D11" s="3" t="s">
        <v>22</v>
      </c>
      <c r="E11" s="3" t="s">
        <v>15</v>
      </c>
      <c r="F11">
        <v>2</v>
      </c>
      <c r="G11">
        <v>2100</v>
      </c>
      <c r="H11">
        <v>4200</v>
      </c>
    </row>
    <row r="12" spans="1:8" x14ac:dyDescent="0.3">
      <c r="A12">
        <v>11</v>
      </c>
      <c r="B12" s="1">
        <v>44937</v>
      </c>
      <c r="C12" s="3" t="s">
        <v>17</v>
      </c>
      <c r="D12" s="3" t="s">
        <v>20</v>
      </c>
      <c r="E12" s="3" t="s">
        <v>15</v>
      </c>
      <c r="F12">
        <v>6</v>
      </c>
      <c r="G12">
        <v>2100</v>
      </c>
      <c r="H12">
        <v>12600</v>
      </c>
    </row>
    <row r="13" spans="1:8" x14ac:dyDescent="0.3">
      <c r="A13">
        <v>12</v>
      </c>
      <c r="B13" s="1">
        <v>44938</v>
      </c>
      <c r="C13" s="3" t="s">
        <v>18</v>
      </c>
      <c r="D13" s="3" t="s">
        <v>22</v>
      </c>
      <c r="E13" s="3" t="s">
        <v>21</v>
      </c>
      <c r="F13">
        <v>1</v>
      </c>
      <c r="G13">
        <v>300</v>
      </c>
      <c r="H13">
        <v>300</v>
      </c>
    </row>
    <row r="14" spans="1:8" x14ac:dyDescent="0.3">
      <c r="A14">
        <v>13</v>
      </c>
      <c r="B14" s="1">
        <v>44939</v>
      </c>
      <c r="C14" s="3" t="s">
        <v>8</v>
      </c>
      <c r="D14" s="3" t="s">
        <v>20</v>
      </c>
      <c r="E14" s="3" t="s">
        <v>15</v>
      </c>
      <c r="F14">
        <v>7</v>
      </c>
      <c r="G14">
        <v>2100</v>
      </c>
      <c r="H14">
        <v>14700</v>
      </c>
    </row>
    <row r="15" spans="1:8" x14ac:dyDescent="0.3">
      <c r="A15">
        <v>14</v>
      </c>
      <c r="B15" s="1">
        <v>44940</v>
      </c>
      <c r="C15" s="3" t="s">
        <v>11</v>
      </c>
      <c r="D15" s="3" t="s">
        <v>9</v>
      </c>
      <c r="E15" s="3" t="s">
        <v>21</v>
      </c>
      <c r="F15">
        <v>6</v>
      </c>
      <c r="G15">
        <v>300</v>
      </c>
      <c r="H15">
        <v>1800</v>
      </c>
    </row>
    <row r="16" spans="1:8" x14ac:dyDescent="0.3">
      <c r="A16">
        <v>15</v>
      </c>
      <c r="B16" s="1">
        <v>44941</v>
      </c>
      <c r="C16" s="3" t="s">
        <v>14</v>
      </c>
      <c r="D16" s="3" t="s">
        <v>12</v>
      </c>
      <c r="E16" s="3" t="s">
        <v>15</v>
      </c>
      <c r="F16">
        <v>1</v>
      </c>
      <c r="G16">
        <v>2100</v>
      </c>
      <c r="H16">
        <v>2100</v>
      </c>
    </row>
    <row r="17" spans="1:8" x14ac:dyDescent="0.3">
      <c r="A17">
        <v>16</v>
      </c>
      <c r="B17" s="1">
        <v>44942</v>
      </c>
      <c r="C17" s="3" t="s">
        <v>16</v>
      </c>
      <c r="D17" s="3" t="s">
        <v>12</v>
      </c>
      <c r="E17" s="3" t="s">
        <v>21</v>
      </c>
      <c r="F17">
        <v>2</v>
      </c>
      <c r="G17">
        <v>300</v>
      </c>
      <c r="H17">
        <v>600</v>
      </c>
    </row>
    <row r="18" spans="1:8" x14ac:dyDescent="0.3">
      <c r="A18">
        <v>17</v>
      </c>
      <c r="B18" s="1">
        <v>44943</v>
      </c>
      <c r="C18" s="3" t="s">
        <v>17</v>
      </c>
      <c r="D18" s="3" t="s">
        <v>12</v>
      </c>
      <c r="E18" s="3" t="s">
        <v>15</v>
      </c>
      <c r="F18">
        <v>7</v>
      </c>
      <c r="G18">
        <v>2100</v>
      </c>
      <c r="H18">
        <v>14700</v>
      </c>
    </row>
    <row r="19" spans="1:8" x14ac:dyDescent="0.3">
      <c r="A19">
        <v>18</v>
      </c>
      <c r="B19" s="1">
        <v>44944</v>
      </c>
      <c r="C19" s="3" t="s">
        <v>18</v>
      </c>
      <c r="D19" s="3" t="s">
        <v>22</v>
      </c>
      <c r="E19" s="3" t="s">
        <v>24</v>
      </c>
      <c r="F19">
        <v>6</v>
      </c>
      <c r="G19">
        <v>450</v>
      </c>
      <c r="H19">
        <v>2700</v>
      </c>
    </row>
    <row r="20" spans="1:8" x14ac:dyDescent="0.3">
      <c r="A20">
        <v>19</v>
      </c>
      <c r="B20" s="1">
        <v>44945</v>
      </c>
      <c r="C20" s="3" t="s">
        <v>8</v>
      </c>
      <c r="D20" s="3" t="s">
        <v>12</v>
      </c>
      <c r="E20" s="3" t="s">
        <v>25</v>
      </c>
      <c r="F20">
        <v>6</v>
      </c>
      <c r="G20">
        <v>190</v>
      </c>
      <c r="H20">
        <v>1140</v>
      </c>
    </row>
    <row r="21" spans="1:8" x14ac:dyDescent="0.3">
      <c r="A21">
        <v>20</v>
      </c>
      <c r="B21" s="1">
        <v>44946</v>
      </c>
      <c r="C21" s="3" t="s">
        <v>11</v>
      </c>
      <c r="D21" s="3" t="s">
        <v>12</v>
      </c>
      <c r="E21" s="3" t="s">
        <v>21</v>
      </c>
      <c r="F21">
        <v>2</v>
      </c>
      <c r="G21">
        <v>300</v>
      </c>
      <c r="H21">
        <v>600</v>
      </c>
    </row>
    <row r="22" spans="1:8" x14ac:dyDescent="0.3">
      <c r="A22">
        <v>21</v>
      </c>
      <c r="B22" s="1">
        <v>44947</v>
      </c>
      <c r="C22" s="3" t="s">
        <v>14</v>
      </c>
      <c r="D22" s="3" t="s">
        <v>12</v>
      </c>
      <c r="E22" s="3" t="s">
        <v>13</v>
      </c>
      <c r="F22">
        <v>3</v>
      </c>
      <c r="G22">
        <v>1500</v>
      </c>
      <c r="H22">
        <v>4500</v>
      </c>
    </row>
    <row r="23" spans="1:8" x14ac:dyDescent="0.3">
      <c r="A23">
        <v>22</v>
      </c>
      <c r="B23" s="1">
        <v>44948</v>
      </c>
      <c r="C23" s="3" t="s">
        <v>16</v>
      </c>
      <c r="D23" s="3" t="s">
        <v>20</v>
      </c>
      <c r="E23" s="3" t="s">
        <v>19</v>
      </c>
      <c r="F23">
        <v>5</v>
      </c>
      <c r="G23">
        <v>8500</v>
      </c>
      <c r="H23">
        <v>42500</v>
      </c>
    </row>
    <row r="24" spans="1:8" x14ac:dyDescent="0.3">
      <c r="A24">
        <v>23</v>
      </c>
      <c r="B24" s="1">
        <v>44949</v>
      </c>
      <c r="C24" s="3" t="s">
        <v>17</v>
      </c>
      <c r="D24" s="3" t="s">
        <v>12</v>
      </c>
      <c r="E24" s="3" t="s">
        <v>25</v>
      </c>
      <c r="F24">
        <v>1</v>
      </c>
      <c r="G24">
        <v>190</v>
      </c>
      <c r="H24">
        <v>190</v>
      </c>
    </row>
    <row r="25" spans="1:8" x14ac:dyDescent="0.3">
      <c r="A25">
        <v>24</v>
      </c>
      <c r="B25" s="1">
        <v>44950</v>
      </c>
      <c r="C25" s="3" t="s">
        <v>18</v>
      </c>
      <c r="D25" s="3" t="s">
        <v>12</v>
      </c>
      <c r="E25" s="3" t="s">
        <v>10</v>
      </c>
      <c r="F25">
        <v>6</v>
      </c>
      <c r="G25">
        <v>210</v>
      </c>
      <c r="H25">
        <v>1260</v>
      </c>
    </row>
    <row r="26" spans="1:8" x14ac:dyDescent="0.3">
      <c r="A26">
        <v>25</v>
      </c>
      <c r="B26" s="1">
        <v>44951</v>
      </c>
      <c r="C26" s="3" t="s">
        <v>8</v>
      </c>
      <c r="D26" s="3" t="s">
        <v>20</v>
      </c>
      <c r="E26" s="3" t="s">
        <v>21</v>
      </c>
      <c r="F26">
        <v>2</v>
      </c>
      <c r="G26">
        <v>300</v>
      </c>
      <c r="H26">
        <v>600</v>
      </c>
    </row>
    <row r="27" spans="1:8" x14ac:dyDescent="0.3">
      <c r="A27">
        <v>26</v>
      </c>
      <c r="B27" s="1">
        <v>44952</v>
      </c>
      <c r="C27" s="3" t="s">
        <v>11</v>
      </c>
      <c r="D27" s="3" t="s">
        <v>12</v>
      </c>
      <c r="E27" s="3" t="s">
        <v>25</v>
      </c>
      <c r="F27">
        <v>4</v>
      </c>
      <c r="G27">
        <v>190</v>
      </c>
      <c r="H27">
        <v>760</v>
      </c>
    </row>
    <row r="28" spans="1:8" x14ac:dyDescent="0.3">
      <c r="A28">
        <v>27</v>
      </c>
      <c r="B28" s="1">
        <v>44953</v>
      </c>
      <c r="C28" s="3" t="s">
        <v>14</v>
      </c>
      <c r="D28" s="3" t="s">
        <v>20</v>
      </c>
      <c r="E28" s="3" t="s">
        <v>19</v>
      </c>
      <c r="F28">
        <v>8</v>
      </c>
      <c r="G28">
        <v>8500</v>
      </c>
      <c r="H28">
        <v>68000</v>
      </c>
    </row>
    <row r="29" spans="1:8" x14ac:dyDescent="0.3">
      <c r="A29">
        <v>28</v>
      </c>
      <c r="B29" s="1">
        <v>44954</v>
      </c>
      <c r="C29" s="3" t="s">
        <v>16</v>
      </c>
      <c r="D29" s="3" t="s">
        <v>12</v>
      </c>
      <c r="E29" s="3" t="s">
        <v>21</v>
      </c>
      <c r="F29">
        <v>3</v>
      </c>
      <c r="G29">
        <v>300</v>
      </c>
      <c r="H29">
        <v>900</v>
      </c>
    </row>
    <row r="30" spans="1:8" x14ac:dyDescent="0.3">
      <c r="A30">
        <v>29</v>
      </c>
      <c r="B30" s="1">
        <v>44955</v>
      </c>
      <c r="C30" s="3" t="s">
        <v>17</v>
      </c>
      <c r="D30" s="3" t="s">
        <v>12</v>
      </c>
      <c r="E30" s="3" t="s">
        <v>21</v>
      </c>
      <c r="F30">
        <v>7</v>
      </c>
      <c r="G30">
        <v>300</v>
      </c>
      <c r="H30">
        <v>2100</v>
      </c>
    </row>
    <row r="31" spans="1:8" x14ac:dyDescent="0.3">
      <c r="A31">
        <v>30</v>
      </c>
      <c r="B31" s="1">
        <v>44956</v>
      </c>
      <c r="C31" s="3" t="s">
        <v>18</v>
      </c>
      <c r="D31" s="3" t="s">
        <v>20</v>
      </c>
      <c r="E31" s="3" t="s">
        <v>25</v>
      </c>
      <c r="F31">
        <v>4</v>
      </c>
      <c r="G31">
        <v>190</v>
      </c>
      <c r="H31">
        <v>760</v>
      </c>
    </row>
    <row r="32" spans="1:8" x14ac:dyDescent="0.3">
      <c r="A32">
        <v>31</v>
      </c>
      <c r="B32" s="1">
        <v>44957</v>
      </c>
      <c r="C32" s="3" t="s">
        <v>8</v>
      </c>
      <c r="D32" s="3" t="s">
        <v>12</v>
      </c>
      <c r="E32" s="3" t="s">
        <v>24</v>
      </c>
      <c r="F32">
        <v>2</v>
      </c>
      <c r="G32">
        <v>450</v>
      </c>
      <c r="H32">
        <v>900</v>
      </c>
    </row>
    <row r="33" spans="1:8" x14ac:dyDescent="0.3">
      <c r="A33">
        <v>32</v>
      </c>
      <c r="B33" s="1">
        <v>44958</v>
      </c>
      <c r="C33" s="3" t="s">
        <v>11</v>
      </c>
      <c r="D33" s="3" t="s">
        <v>9</v>
      </c>
      <c r="E33" s="3" t="s">
        <v>15</v>
      </c>
      <c r="F33">
        <v>3</v>
      </c>
      <c r="G33">
        <v>2100</v>
      </c>
      <c r="H33">
        <v>6300</v>
      </c>
    </row>
    <row r="34" spans="1:8" x14ac:dyDescent="0.3">
      <c r="A34">
        <v>33</v>
      </c>
      <c r="B34" s="1">
        <v>44959</v>
      </c>
      <c r="C34" s="3" t="s">
        <v>14</v>
      </c>
      <c r="D34" s="3" t="s">
        <v>12</v>
      </c>
      <c r="E34" s="3" t="s">
        <v>19</v>
      </c>
      <c r="F34">
        <v>2</v>
      </c>
      <c r="G34">
        <v>8500</v>
      </c>
      <c r="H34">
        <v>17000</v>
      </c>
    </row>
    <row r="35" spans="1:8" x14ac:dyDescent="0.3">
      <c r="A35">
        <v>34</v>
      </c>
      <c r="B35" s="1">
        <v>44960</v>
      </c>
      <c r="C35" s="3" t="s">
        <v>16</v>
      </c>
      <c r="D35" s="3" t="s">
        <v>20</v>
      </c>
      <c r="E35" s="3" t="s">
        <v>19</v>
      </c>
      <c r="F35">
        <v>8</v>
      </c>
      <c r="G35">
        <v>8500</v>
      </c>
      <c r="H35">
        <v>68000</v>
      </c>
    </row>
    <row r="36" spans="1:8" x14ac:dyDescent="0.3">
      <c r="A36">
        <v>35</v>
      </c>
      <c r="B36" s="1">
        <v>44961</v>
      </c>
      <c r="C36" s="3" t="s">
        <v>17</v>
      </c>
      <c r="D36" s="3" t="s">
        <v>22</v>
      </c>
      <c r="E36" s="3" t="s">
        <v>10</v>
      </c>
      <c r="F36">
        <v>2</v>
      </c>
      <c r="G36">
        <v>210</v>
      </c>
      <c r="H36">
        <v>420</v>
      </c>
    </row>
    <row r="37" spans="1:8" x14ac:dyDescent="0.3">
      <c r="A37">
        <v>36</v>
      </c>
      <c r="B37" s="1">
        <v>44962</v>
      </c>
      <c r="C37" s="3" t="s">
        <v>18</v>
      </c>
      <c r="D37" s="3" t="s">
        <v>22</v>
      </c>
      <c r="E37" s="3" t="s">
        <v>25</v>
      </c>
      <c r="F37">
        <v>2</v>
      </c>
      <c r="G37">
        <v>190</v>
      </c>
      <c r="H37">
        <v>380</v>
      </c>
    </row>
    <row r="38" spans="1:8" x14ac:dyDescent="0.3">
      <c r="A38">
        <v>37</v>
      </c>
      <c r="B38" s="1">
        <v>44963</v>
      </c>
      <c r="C38" s="3" t="s">
        <v>8</v>
      </c>
      <c r="D38" s="3" t="s">
        <v>22</v>
      </c>
      <c r="E38" s="3" t="s">
        <v>19</v>
      </c>
      <c r="F38">
        <v>3</v>
      </c>
      <c r="G38">
        <v>8500</v>
      </c>
      <c r="H38">
        <v>25500</v>
      </c>
    </row>
    <row r="39" spans="1:8" x14ac:dyDescent="0.3">
      <c r="A39">
        <v>38</v>
      </c>
      <c r="B39" s="1">
        <v>44964</v>
      </c>
      <c r="C39" s="3" t="s">
        <v>11</v>
      </c>
      <c r="D39" s="3" t="s">
        <v>20</v>
      </c>
      <c r="E39" s="3" t="s">
        <v>10</v>
      </c>
      <c r="F39">
        <v>5</v>
      </c>
      <c r="G39">
        <v>210</v>
      </c>
      <c r="H39">
        <v>1050</v>
      </c>
    </row>
    <row r="40" spans="1:8" x14ac:dyDescent="0.3">
      <c r="A40">
        <v>39</v>
      </c>
      <c r="B40" s="1">
        <v>44965</v>
      </c>
      <c r="C40" s="3" t="s">
        <v>14</v>
      </c>
      <c r="D40" s="3" t="s">
        <v>12</v>
      </c>
      <c r="E40" s="3" t="s">
        <v>15</v>
      </c>
      <c r="F40">
        <v>5</v>
      </c>
      <c r="G40">
        <v>2100</v>
      </c>
      <c r="H40">
        <v>10500</v>
      </c>
    </row>
    <row r="41" spans="1:8" x14ac:dyDescent="0.3">
      <c r="A41">
        <v>40</v>
      </c>
      <c r="B41" s="1">
        <v>44966</v>
      </c>
      <c r="C41" s="3" t="s">
        <v>16</v>
      </c>
      <c r="D41" s="3" t="s">
        <v>12</v>
      </c>
      <c r="E41" s="3" t="s">
        <v>23</v>
      </c>
      <c r="F41">
        <v>6</v>
      </c>
      <c r="G41">
        <v>1200</v>
      </c>
      <c r="H41">
        <v>7200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B5A55-B004-4FDC-90CE-889382A104E7}">
  <dimension ref="A1:H41"/>
  <sheetViews>
    <sheetView topLeftCell="A2" workbookViewId="0">
      <selection activeCell="B26" sqref="B26"/>
    </sheetView>
  </sheetViews>
  <sheetFormatPr defaultRowHeight="14.4" x14ac:dyDescent="0.3"/>
  <cols>
    <col min="2" max="2" width="16.5546875" customWidth="1"/>
  </cols>
  <sheetData>
    <row r="1" spans="1:8" x14ac:dyDescent="0.3">
      <c r="A1" t="s">
        <v>0</v>
      </c>
      <c r="B1" t="s">
        <v>1</v>
      </c>
      <c r="C1" t="s">
        <v>2</v>
      </c>
      <c r="D1" t="s">
        <v>3</v>
      </c>
      <c r="E1" t="s">
        <v>4</v>
      </c>
      <c r="F1" t="s">
        <v>5</v>
      </c>
      <c r="G1" t="s">
        <v>6</v>
      </c>
      <c r="H1" t="s">
        <v>7</v>
      </c>
    </row>
    <row r="2" spans="1:8" x14ac:dyDescent="0.3">
      <c r="A2">
        <v>1</v>
      </c>
      <c r="B2" s="1">
        <v>44927</v>
      </c>
      <c r="C2" t="s">
        <v>8</v>
      </c>
      <c r="D2" t="s">
        <v>9</v>
      </c>
      <c r="E2" t="s">
        <v>10</v>
      </c>
      <c r="F2">
        <v>5</v>
      </c>
      <c r="G2">
        <v>210</v>
      </c>
      <c r="H2" s="2">
        <v>1050</v>
      </c>
    </row>
    <row r="3" spans="1:8" x14ac:dyDescent="0.3">
      <c r="A3">
        <v>2</v>
      </c>
      <c r="B3" s="1">
        <v>44928</v>
      </c>
      <c r="C3" t="s">
        <v>11</v>
      </c>
      <c r="D3" t="s">
        <v>12</v>
      </c>
      <c r="E3" t="s">
        <v>13</v>
      </c>
      <c r="F3">
        <v>3</v>
      </c>
      <c r="G3" s="2">
        <v>1500</v>
      </c>
      <c r="H3" s="2">
        <v>4500</v>
      </c>
    </row>
    <row r="4" spans="1:8" x14ac:dyDescent="0.3">
      <c r="A4">
        <v>3</v>
      </c>
      <c r="B4" s="1">
        <v>44929</v>
      </c>
      <c r="C4" t="s">
        <v>14</v>
      </c>
      <c r="D4" t="s">
        <v>9</v>
      </c>
      <c r="E4" t="s">
        <v>15</v>
      </c>
      <c r="F4">
        <v>7</v>
      </c>
      <c r="G4" s="2">
        <v>2100</v>
      </c>
      <c r="H4" s="2">
        <v>14700</v>
      </c>
    </row>
    <row r="5" spans="1:8" x14ac:dyDescent="0.3">
      <c r="A5">
        <v>4</v>
      </c>
      <c r="B5" s="1">
        <v>44930</v>
      </c>
      <c r="C5" t="s">
        <v>16</v>
      </c>
      <c r="D5" t="s">
        <v>9</v>
      </c>
      <c r="E5" t="s">
        <v>10</v>
      </c>
      <c r="F5">
        <v>2</v>
      </c>
      <c r="G5">
        <v>210</v>
      </c>
      <c r="H5">
        <v>420</v>
      </c>
    </row>
    <row r="6" spans="1:8" x14ac:dyDescent="0.3">
      <c r="A6">
        <v>5</v>
      </c>
      <c r="B6" s="1">
        <v>44931</v>
      </c>
      <c r="C6" t="s">
        <v>17</v>
      </c>
      <c r="D6" t="s">
        <v>12</v>
      </c>
      <c r="E6" t="s">
        <v>13</v>
      </c>
      <c r="F6">
        <v>1</v>
      </c>
      <c r="G6" s="2">
        <v>1500</v>
      </c>
      <c r="H6" s="2">
        <v>1500</v>
      </c>
    </row>
    <row r="7" spans="1:8" x14ac:dyDescent="0.3">
      <c r="A7">
        <v>6</v>
      </c>
      <c r="B7" s="1">
        <v>44932</v>
      </c>
      <c r="C7" t="s">
        <v>18</v>
      </c>
      <c r="D7" t="s">
        <v>12</v>
      </c>
      <c r="E7" t="s">
        <v>19</v>
      </c>
      <c r="F7">
        <v>4</v>
      </c>
      <c r="G7" s="2">
        <v>8500</v>
      </c>
      <c r="H7" s="2">
        <v>34000</v>
      </c>
    </row>
    <row r="8" spans="1:8" x14ac:dyDescent="0.3">
      <c r="A8">
        <v>7</v>
      </c>
      <c r="B8" s="1">
        <v>44933</v>
      </c>
      <c r="C8" t="s">
        <v>8</v>
      </c>
      <c r="D8" t="s">
        <v>20</v>
      </c>
      <c r="E8" t="s">
        <v>21</v>
      </c>
      <c r="F8">
        <v>1</v>
      </c>
      <c r="G8">
        <v>300</v>
      </c>
      <c r="H8">
        <v>300</v>
      </c>
    </row>
    <row r="9" spans="1:8" x14ac:dyDescent="0.3">
      <c r="A9">
        <v>8</v>
      </c>
      <c r="B9" s="1">
        <v>44934</v>
      </c>
      <c r="C9" t="s">
        <v>11</v>
      </c>
      <c r="D9" t="s">
        <v>12</v>
      </c>
      <c r="E9" t="s">
        <v>19</v>
      </c>
      <c r="F9">
        <v>6</v>
      </c>
      <c r="G9" s="2">
        <v>8500</v>
      </c>
      <c r="H9" s="2">
        <v>51000</v>
      </c>
    </row>
    <row r="10" spans="1:8" x14ac:dyDescent="0.3">
      <c r="A10">
        <v>9</v>
      </c>
      <c r="B10" s="1">
        <v>44935</v>
      </c>
      <c r="C10" t="s">
        <v>14</v>
      </c>
      <c r="D10" t="s">
        <v>22</v>
      </c>
      <c r="E10" t="s">
        <v>23</v>
      </c>
      <c r="F10">
        <v>4</v>
      </c>
      <c r="G10" s="2">
        <v>1200</v>
      </c>
      <c r="H10" s="2">
        <v>4800</v>
      </c>
    </row>
    <row r="11" spans="1:8" x14ac:dyDescent="0.3">
      <c r="A11">
        <v>10</v>
      </c>
      <c r="B11" s="1">
        <v>44936</v>
      </c>
      <c r="C11" t="s">
        <v>16</v>
      </c>
      <c r="D11" t="s">
        <v>22</v>
      </c>
      <c r="E11" t="s">
        <v>15</v>
      </c>
      <c r="F11">
        <v>2</v>
      </c>
      <c r="G11" s="2">
        <v>2100</v>
      </c>
      <c r="H11" s="2">
        <v>4200</v>
      </c>
    </row>
    <row r="12" spans="1:8" x14ac:dyDescent="0.3">
      <c r="A12">
        <v>11</v>
      </c>
      <c r="B12" s="1">
        <v>44937</v>
      </c>
      <c r="C12" t="s">
        <v>17</v>
      </c>
      <c r="D12" t="s">
        <v>20</v>
      </c>
      <c r="E12" t="s">
        <v>15</v>
      </c>
      <c r="F12">
        <v>6</v>
      </c>
      <c r="G12" s="2">
        <v>2100</v>
      </c>
      <c r="H12" s="2">
        <v>12600</v>
      </c>
    </row>
    <row r="13" spans="1:8" x14ac:dyDescent="0.3">
      <c r="A13">
        <v>12</v>
      </c>
      <c r="B13" s="1">
        <v>44938</v>
      </c>
      <c r="C13" t="s">
        <v>18</v>
      </c>
      <c r="D13" t="s">
        <v>22</v>
      </c>
      <c r="E13" t="s">
        <v>21</v>
      </c>
      <c r="F13">
        <v>1</v>
      </c>
      <c r="G13">
        <v>300</v>
      </c>
      <c r="H13">
        <v>300</v>
      </c>
    </row>
    <row r="14" spans="1:8" x14ac:dyDescent="0.3">
      <c r="A14">
        <v>13</v>
      </c>
      <c r="B14" s="1">
        <v>44939</v>
      </c>
      <c r="C14" t="s">
        <v>8</v>
      </c>
      <c r="D14" t="s">
        <v>20</v>
      </c>
      <c r="E14" t="s">
        <v>15</v>
      </c>
      <c r="F14">
        <v>7</v>
      </c>
      <c r="G14" s="2">
        <v>2100</v>
      </c>
      <c r="H14" s="2">
        <v>14700</v>
      </c>
    </row>
    <row r="15" spans="1:8" x14ac:dyDescent="0.3">
      <c r="A15">
        <v>14</v>
      </c>
      <c r="B15" s="1">
        <v>44940</v>
      </c>
      <c r="C15" t="s">
        <v>11</v>
      </c>
      <c r="D15" t="s">
        <v>9</v>
      </c>
      <c r="E15" t="s">
        <v>21</v>
      </c>
      <c r="F15">
        <v>6</v>
      </c>
      <c r="G15">
        <v>300</v>
      </c>
      <c r="H15" s="2">
        <v>1800</v>
      </c>
    </row>
    <row r="16" spans="1:8" x14ac:dyDescent="0.3">
      <c r="A16">
        <v>15</v>
      </c>
      <c r="B16" s="1">
        <v>44941</v>
      </c>
      <c r="C16" t="s">
        <v>14</v>
      </c>
      <c r="D16" t="s">
        <v>12</v>
      </c>
      <c r="E16" t="s">
        <v>15</v>
      </c>
      <c r="F16">
        <v>1</v>
      </c>
      <c r="G16" s="2">
        <v>2100</v>
      </c>
      <c r="H16" s="2">
        <v>2100</v>
      </c>
    </row>
    <row r="17" spans="1:8" x14ac:dyDescent="0.3">
      <c r="A17">
        <v>16</v>
      </c>
      <c r="B17" s="1">
        <v>44942</v>
      </c>
      <c r="C17" t="s">
        <v>16</v>
      </c>
      <c r="D17" t="s">
        <v>12</v>
      </c>
      <c r="E17" t="s">
        <v>21</v>
      </c>
      <c r="F17">
        <v>2</v>
      </c>
      <c r="G17">
        <v>300</v>
      </c>
      <c r="H17">
        <v>600</v>
      </c>
    </row>
    <row r="18" spans="1:8" x14ac:dyDescent="0.3">
      <c r="A18">
        <v>17</v>
      </c>
      <c r="B18" s="1">
        <v>44943</v>
      </c>
      <c r="C18" t="s">
        <v>17</v>
      </c>
      <c r="D18" t="s">
        <v>12</v>
      </c>
      <c r="E18" t="s">
        <v>15</v>
      </c>
      <c r="F18">
        <v>7</v>
      </c>
      <c r="G18" s="2">
        <v>2100</v>
      </c>
      <c r="H18" s="2">
        <v>14700</v>
      </c>
    </row>
    <row r="19" spans="1:8" x14ac:dyDescent="0.3">
      <c r="A19">
        <v>18</v>
      </c>
      <c r="B19" s="1">
        <v>44944</v>
      </c>
      <c r="C19" t="s">
        <v>18</v>
      </c>
      <c r="D19" t="s">
        <v>22</v>
      </c>
      <c r="E19" t="s">
        <v>24</v>
      </c>
      <c r="F19">
        <v>6</v>
      </c>
      <c r="G19">
        <v>450</v>
      </c>
      <c r="H19" s="2">
        <v>2700</v>
      </c>
    </row>
    <row r="20" spans="1:8" x14ac:dyDescent="0.3">
      <c r="A20">
        <v>19</v>
      </c>
      <c r="B20" s="1">
        <v>44945</v>
      </c>
      <c r="C20" t="s">
        <v>8</v>
      </c>
      <c r="D20" t="s">
        <v>12</v>
      </c>
      <c r="E20" t="s">
        <v>25</v>
      </c>
      <c r="F20">
        <v>6</v>
      </c>
      <c r="G20">
        <v>190</v>
      </c>
      <c r="H20" s="2">
        <v>1140</v>
      </c>
    </row>
    <row r="21" spans="1:8" x14ac:dyDescent="0.3">
      <c r="A21">
        <v>20</v>
      </c>
      <c r="B21" s="1">
        <v>44946</v>
      </c>
      <c r="C21" t="s">
        <v>11</v>
      </c>
      <c r="D21" t="s">
        <v>12</v>
      </c>
      <c r="E21" t="s">
        <v>21</v>
      </c>
      <c r="F21">
        <v>2</v>
      </c>
      <c r="G21">
        <v>300</v>
      </c>
      <c r="H21">
        <v>600</v>
      </c>
    </row>
    <row r="22" spans="1:8" x14ac:dyDescent="0.3">
      <c r="A22">
        <v>21</v>
      </c>
      <c r="B22" s="1">
        <v>44947</v>
      </c>
      <c r="C22" t="s">
        <v>14</v>
      </c>
      <c r="D22" t="s">
        <v>12</v>
      </c>
      <c r="E22" t="s">
        <v>13</v>
      </c>
      <c r="F22">
        <v>3</v>
      </c>
      <c r="G22" s="2">
        <v>1500</v>
      </c>
      <c r="H22" s="2">
        <v>4500</v>
      </c>
    </row>
    <row r="23" spans="1:8" x14ac:dyDescent="0.3">
      <c r="A23">
        <v>22</v>
      </c>
      <c r="B23" s="1">
        <v>44948</v>
      </c>
      <c r="C23" t="s">
        <v>16</v>
      </c>
      <c r="D23" t="s">
        <v>20</v>
      </c>
      <c r="E23" t="s">
        <v>19</v>
      </c>
      <c r="F23">
        <v>5</v>
      </c>
      <c r="G23" s="2">
        <v>8500</v>
      </c>
      <c r="H23" s="2">
        <v>42500</v>
      </c>
    </row>
    <row r="24" spans="1:8" x14ac:dyDescent="0.3">
      <c r="A24">
        <v>23</v>
      </c>
      <c r="B24" s="1">
        <v>44949</v>
      </c>
      <c r="C24" t="s">
        <v>17</v>
      </c>
      <c r="D24" t="s">
        <v>12</v>
      </c>
      <c r="E24" t="s">
        <v>25</v>
      </c>
      <c r="F24">
        <v>1</v>
      </c>
      <c r="G24">
        <v>190</v>
      </c>
      <c r="H24">
        <v>190</v>
      </c>
    </row>
    <row r="25" spans="1:8" x14ac:dyDescent="0.3">
      <c r="A25">
        <v>24</v>
      </c>
      <c r="B25" s="1">
        <v>44950</v>
      </c>
      <c r="C25" t="s">
        <v>18</v>
      </c>
      <c r="D25" t="s">
        <v>12</v>
      </c>
      <c r="E25" t="s">
        <v>10</v>
      </c>
      <c r="F25">
        <v>6</v>
      </c>
      <c r="G25">
        <v>210</v>
      </c>
      <c r="H25" s="2">
        <v>1260</v>
      </c>
    </row>
    <row r="26" spans="1:8" x14ac:dyDescent="0.3">
      <c r="A26">
        <v>25</v>
      </c>
      <c r="B26" s="1">
        <v>44951</v>
      </c>
      <c r="C26" t="s">
        <v>8</v>
      </c>
      <c r="D26" t="s">
        <v>20</v>
      </c>
      <c r="E26" t="s">
        <v>21</v>
      </c>
      <c r="F26">
        <v>2</v>
      </c>
      <c r="G26">
        <v>300</v>
      </c>
      <c r="H26">
        <v>600</v>
      </c>
    </row>
    <row r="27" spans="1:8" x14ac:dyDescent="0.3">
      <c r="A27">
        <v>26</v>
      </c>
      <c r="B27" s="1">
        <v>44952</v>
      </c>
      <c r="C27" t="s">
        <v>11</v>
      </c>
      <c r="D27" t="s">
        <v>12</v>
      </c>
      <c r="E27" t="s">
        <v>25</v>
      </c>
      <c r="F27">
        <v>4</v>
      </c>
      <c r="G27">
        <v>190</v>
      </c>
      <c r="H27">
        <v>760</v>
      </c>
    </row>
    <row r="28" spans="1:8" x14ac:dyDescent="0.3">
      <c r="A28">
        <v>27</v>
      </c>
      <c r="B28" s="1">
        <v>44953</v>
      </c>
      <c r="C28" t="s">
        <v>14</v>
      </c>
      <c r="D28" t="s">
        <v>20</v>
      </c>
      <c r="E28" t="s">
        <v>19</v>
      </c>
      <c r="F28">
        <v>8</v>
      </c>
      <c r="G28" s="2">
        <v>8500</v>
      </c>
      <c r="H28" s="2">
        <v>68000</v>
      </c>
    </row>
    <row r="29" spans="1:8" x14ac:dyDescent="0.3">
      <c r="A29">
        <v>28</v>
      </c>
      <c r="B29" s="1">
        <v>44954</v>
      </c>
      <c r="C29" t="s">
        <v>16</v>
      </c>
      <c r="D29" t="s">
        <v>12</v>
      </c>
      <c r="E29" t="s">
        <v>21</v>
      </c>
      <c r="F29">
        <v>3</v>
      </c>
      <c r="G29">
        <v>300</v>
      </c>
      <c r="H29">
        <v>900</v>
      </c>
    </row>
    <row r="30" spans="1:8" x14ac:dyDescent="0.3">
      <c r="A30">
        <v>29</v>
      </c>
      <c r="B30" s="1">
        <v>44955</v>
      </c>
      <c r="C30" t="s">
        <v>17</v>
      </c>
      <c r="D30" t="s">
        <v>12</v>
      </c>
      <c r="E30" t="s">
        <v>21</v>
      </c>
      <c r="F30">
        <v>7</v>
      </c>
      <c r="G30">
        <v>300</v>
      </c>
      <c r="H30" s="2">
        <v>2100</v>
      </c>
    </row>
    <row r="31" spans="1:8" x14ac:dyDescent="0.3">
      <c r="A31">
        <v>30</v>
      </c>
      <c r="B31" s="1">
        <v>44956</v>
      </c>
      <c r="C31" t="s">
        <v>18</v>
      </c>
      <c r="D31" t="s">
        <v>20</v>
      </c>
      <c r="E31" t="s">
        <v>25</v>
      </c>
      <c r="F31">
        <v>4</v>
      </c>
      <c r="G31">
        <v>190</v>
      </c>
      <c r="H31">
        <v>760</v>
      </c>
    </row>
    <row r="32" spans="1:8" x14ac:dyDescent="0.3">
      <c r="A32">
        <v>31</v>
      </c>
      <c r="B32" s="1">
        <v>44957</v>
      </c>
      <c r="C32" t="s">
        <v>8</v>
      </c>
      <c r="D32" t="s">
        <v>12</v>
      </c>
      <c r="E32" t="s">
        <v>24</v>
      </c>
      <c r="F32">
        <v>2</v>
      </c>
      <c r="G32">
        <v>450</v>
      </c>
      <c r="H32">
        <v>900</v>
      </c>
    </row>
    <row r="33" spans="1:8" x14ac:dyDescent="0.3">
      <c r="A33">
        <v>32</v>
      </c>
      <c r="B33" s="1">
        <v>44958</v>
      </c>
      <c r="C33" t="s">
        <v>11</v>
      </c>
      <c r="D33" t="s">
        <v>9</v>
      </c>
      <c r="E33" t="s">
        <v>15</v>
      </c>
      <c r="F33">
        <v>3</v>
      </c>
      <c r="G33" s="2">
        <v>2100</v>
      </c>
      <c r="H33" s="2">
        <v>6300</v>
      </c>
    </row>
    <row r="34" spans="1:8" x14ac:dyDescent="0.3">
      <c r="A34">
        <v>33</v>
      </c>
      <c r="B34" s="1">
        <v>44959</v>
      </c>
      <c r="C34" t="s">
        <v>14</v>
      </c>
      <c r="D34" t="s">
        <v>12</v>
      </c>
      <c r="E34" t="s">
        <v>19</v>
      </c>
      <c r="F34">
        <v>2</v>
      </c>
      <c r="G34" s="2">
        <v>8500</v>
      </c>
      <c r="H34" s="2">
        <v>17000</v>
      </c>
    </row>
    <row r="35" spans="1:8" x14ac:dyDescent="0.3">
      <c r="A35">
        <v>34</v>
      </c>
      <c r="B35" s="1">
        <v>44960</v>
      </c>
      <c r="C35" t="s">
        <v>16</v>
      </c>
      <c r="D35" t="s">
        <v>20</v>
      </c>
      <c r="E35" t="s">
        <v>19</v>
      </c>
      <c r="F35">
        <v>8</v>
      </c>
      <c r="G35" s="2">
        <v>8500</v>
      </c>
      <c r="H35" s="2">
        <v>68000</v>
      </c>
    </row>
    <row r="36" spans="1:8" x14ac:dyDescent="0.3">
      <c r="A36">
        <v>35</v>
      </c>
      <c r="B36" s="1">
        <v>44961</v>
      </c>
      <c r="C36" t="s">
        <v>17</v>
      </c>
      <c r="D36" t="s">
        <v>22</v>
      </c>
      <c r="E36" t="s">
        <v>10</v>
      </c>
      <c r="F36">
        <v>2</v>
      </c>
      <c r="G36">
        <v>210</v>
      </c>
      <c r="H36">
        <v>420</v>
      </c>
    </row>
    <row r="37" spans="1:8" x14ac:dyDescent="0.3">
      <c r="A37">
        <v>36</v>
      </c>
      <c r="B37" s="1">
        <v>44962</v>
      </c>
      <c r="C37" t="s">
        <v>18</v>
      </c>
      <c r="D37" t="s">
        <v>22</v>
      </c>
      <c r="E37" t="s">
        <v>25</v>
      </c>
      <c r="F37">
        <v>2</v>
      </c>
      <c r="G37">
        <v>190</v>
      </c>
      <c r="H37">
        <v>380</v>
      </c>
    </row>
    <row r="38" spans="1:8" x14ac:dyDescent="0.3">
      <c r="A38">
        <v>37</v>
      </c>
      <c r="B38" s="1">
        <v>44963</v>
      </c>
      <c r="C38" t="s">
        <v>8</v>
      </c>
      <c r="D38" t="s">
        <v>22</v>
      </c>
      <c r="E38" t="s">
        <v>19</v>
      </c>
      <c r="F38">
        <v>3</v>
      </c>
      <c r="G38" s="2">
        <v>8500</v>
      </c>
      <c r="H38" s="2">
        <v>25500</v>
      </c>
    </row>
    <row r="39" spans="1:8" x14ac:dyDescent="0.3">
      <c r="A39">
        <v>38</v>
      </c>
      <c r="B39" s="1">
        <v>44964</v>
      </c>
      <c r="C39" t="s">
        <v>11</v>
      </c>
      <c r="D39" t="s">
        <v>20</v>
      </c>
      <c r="E39" t="s">
        <v>10</v>
      </c>
      <c r="F39">
        <v>5</v>
      </c>
      <c r="G39">
        <v>210</v>
      </c>
      <c r="H39" s="2">
        <v>1050</v>
      </c>
    </row>
    <row r="40" spans="1:8" x14ac:dyDescent="0.3">
      <c r="A40">
        <v>39</v>
      </c>
      <c r="B40" s="1">
        <v>44965</v>
      </c>
      <c r="C40" t="s">
        <v>14</v>
      </c>
      <c r="D40" t="s">
        <v>12</v>
      </c>
      <c r="E40" t="s">
        <v>15</v>
      </c>
      <c r="F40">
        <v>5</v>
      </c>
      <c r="G40" s="2">
        <v>2100</v>
      </c>
      <c r="H40" s="2">
        <v>10500</v>
      </c>
    </row>
    <row r="41" spans="1:8" x14ac:dyDescent="0.3">
      <c r="A41">
        <v>40</v>
      </c>
      <c r="B41" s="1">
        <v>44966</v>
      </c>
      <c r="C41" t="s">
        <v>16</v>
      </c>
      <c r="D41" t="s">
        <v>12</v>
      </c>
      <c r="E41" t="s">
        <v>23</v>
      </c>
      <c r="F41">
        <v>6</v>
      </c>
      <c r="G41" s="2">
        <v>1200</v>
      </c>
      <c r="H41" s="2">
        <v>7200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1199F2-4880-4C23-A666-DB6D9DD38A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 analysis</vt:lpstr>
      <vt:lpstr>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THINKPAD</cp:lastModifiedBy>
  <dcterms:created xsi:type="dcterms:W3CDTF">2026-10-14T22:23:16Z</dcterms:created>
  <dcterms:modified xsi:type="dcterms:W3CDTF">2026-10-16T22:53:25Z</dcterms:modified>
</cp:coreProperties>
</file>