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44081467-0A3B-4521-8BE0-3FBB810044A1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6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3" l="1"/>
  <c r="E7" i="3"/>
  <c r="C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<sst xmlns="http://schemas.openxmlformats.org/spreadsheetml/2006/main" count="272" uniqueCount="35">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</sst>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0" fontId="0" fillId="0" borderId="0" xfId="0" applyAlignment="1">
      <alignment horizontal="center"/>
    </xf>
    <xf numFmtId="172" fontId="0" fillId="2" borderId="0" xfId="1" applyNumberFormat="1" applyFont="1" applyFill="1"/>
    <xf numFmtId="1" fontId="0" fillId="0" borderId="0" xfId="0" applyNumberFormat="1"/>
  </cellXfs>
  <cellStyles count="2">
    <cellStyle name="Currency" xfId="1" builtinId="4"/>
    <cellStyle name="Normal" xfId="0" builtinId="0"/>
  </cellStyles>
  <dxfs count="15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513CBE0-E094-4C26-96DA-DB434CB46CB4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72920183-DA88-4872-88F3-A9CECC31E244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B8A57B-9ECA-4A6B-9F76-D0604A308663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D0E6F6D9-C13A-437F-BE53-C2E24046A81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701F17-3C06-487F-9634-982686149457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38602BB4-B684-45A1-A60C-0E81C4D44DB3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0DB1AD1-58C2-4FE5-A975-4AA7F66E591B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FC59D29-5B66-45B3-A6DC-0B54DECF4553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D513CBE0-E094-4C26-96DA-DB434CB46CB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2920183-DA88-4872-88F3-A9CECC31E244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50B8A57B-9ECA-4A6B-9F76-D0604A30866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0E6F6D9-C13A-437F-BE53-C2E24046A81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B3701F17-3C06-487F-9634-98268614945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8602BB4-B684-45A1-A60C-0E81C4D44DB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80DB1AD1-58C2-4FE5-A975-4AA7F66E591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FC59D29-5B66-45B3-A6DC-0B54DECF455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3</xdr:col>
      <xdr:colOff>601980</xdr:colOff>
      <xdr:row>0</xdr:row>
      <xdr:rowOff>144780</xdr:rowOff>
    </xdr:from>
    <xdr:to>
      <xdr:col>16</xdr:col>
      <xdr:colOff>0</xdr:colOff>
      <xdr:row>7</xdr:row>
      <xdr:rowOff>60960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30780" y="144780"/>
              <a:ext cx="7322820" cy="1196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/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x v="0"/>
    <x v="0"/>
    <n v="5"/>
    <n v="210"/>
    <x v="0"/>
  </r>
  <r>
    <n v="2"/>
    <x v="1"/>
    <s v="Ali Ramadan"/>
    <x v="1"/>
    <x v="1"/>
    <n v="3"/>
    <n v="1500"/>
    <x v="1"/>
  </r>
  <r>
    <n v="3"/>
    <x v="2"/>
    <s v="Ashraf Zaki"/>
    <x v="0"/>
    <x v="2"/>
    <n v="7"/>
    <n v="2100"/>
    <x v="2"/>
  </r>
  <r>
    <n v="4"/>
    <x v="3"/>
    <s v="Fathy Ali"/>
    <x v="0"/>
    <x v="0"/>
    <n v="2"/>
    <n v="210"/>
    <x v="3"/>
  </r>
  <r>
    <n v="5"/>
    <x v="4"/>
    <s v="Tamer Mohamed"/>
    <x v="1"/>
    <x v="1"/>
    <n v="1"/>
    <n v="1500"/>
    <x v="4"/>
  </r>
  <r>
    <n v="6"/>
    <x v="5"/>
    <s v="Khaled Hassan"/>
    <x v="1"/>
    <x v="3"/>
    <n v="4"/>
    <n v="8500"/>
    <x v="5"/>
  </r>
  <r>
    <n v="7"/>
    <x v="6"/>
    <s v="Ahmed Said"/>
    <x v="2"/>
    <x v="4"/>
    <n v="1"/>
    <n v="300"/>
    <x v="6"/>
  </r>
  <r>
    <n v="8"/>
    <x v="7"/>
    <s v="Ali Ramadan"/>
    <x v="1"/>
    <x v="3"/>
    <n v="6"/>
    <n v="8500"/>
    <x v="7"/>
  </r>
  <r>
    <n v="9"/>
    <x v="8"/>
    <s v="Ashraf Zaki"/>
    <x v="3"/>
    <x v="5"/>
    <n v="4"/>
    <n v="1200"/>
    <x v="8"/>
  </r>
  <r>
    <n v="10"/>
    <x v="9"/>
    <s v="Fathy Ali"/>
    <x v="3"/>
    <x v="2"/>
    <n v="2"/>
    <n v="2100"/>
    <x v="9"/>
  </r>
  <r>
    <n v="11"/>
    <x v="10"/>
    <s v="Tamer Mohamed"/>
    <x v="2"/>
    <x v="2"/>
    <n v="6"/>
    <n v="2100"/>
    <x v="10"/>
  </r>
  <r>
    <n v="12"/>
    <x v="11"/>
    <s v="Khaled Hassan"/>
    <x v="3"/>
    <x v="4"/>
    <n v="1"/>
    <n v="300"/>
    <x v="6"/>
  </r>
  <r>
    <n v="13"/>
    <x v="12"/>
    <s v="Ahmed Said"/>
    <x v="2"/>
    <x v="2"/>
    <n v="7"/>
    <n v="2100"/>
    <x v="2"/>
  </r>
  <r>
    <n v="14"/>
    <x v="13"/>
    <s v="Ali Ramadan"/>
    <x v="0"/>
    <x v="4"/>
    <n v="6"/>
    <n v="300"/>
    <x v="11"/>
  </r>
  <r>
    <n v="15"/>
    <x v="14"/>
    <s v="Ashraf Zaki"/>
    <x v="1"/>
    <x v="2"/>
    <n v="1"/>
    <n v="2100"/>
    <x v="12"/>
  </r>
  <r>
    <n v="16"/>
    <x v="15"/>
    <s v="Fathy Ali"/>
    <x v="1"/>
    <x v="4"/>
    <n v="2"/>
    <n v="300"/>
    <x v="13"/>
  </r>
  <r>
    <n v="17"/>
    <x v="16"/>
    <s v="Tamer Mohamed"/>
    <x v="1"/>
    <x v="2"/>
    <n v="7"/>
    <n v="2100"/>
    <x v="2"/>
  </r>
  <r>
    <n v="18"/>
    <x v="17"/>
    <s v="Khaled Hassan"/>
    <x v="3"/>
    <x v="6"/>
    <n v="6"/>
    <n v="450"/>
    <x v="14"/>
  </r>
  <r>
    <n v="19"/>
    <x v="18"/>
    <s v="Ahmed Said"/>
    <x v="1"/>
    <x v="7"/>
    <n v="6"/>
    <n v="190"/>
    <x v="15"/>
  </r>
  <r>
    <n v="20"/>
    <x v="19"/>
    <s v="Ali Ramadan"/>
    <x v="1"/>
    <x v="4"/>
    <n v="2"/>
    <n v="300"/>
    <x v="13"/>
  </r>
  <r>
    <n v="21"/>
    <x v="20"/>
    <s v="Ashraf Zaki"/>
    <x v="1"/>
    <x v="1"/>
    <n v="3"/>
    <n v="1500"/>
    <x v="1"/>
  </r>
  <r>
    <n v="22"/>
    <x v="21"/>
    <s v="Fathy Ali"/>
    <x v="2"/>
    <x v="3"/>
    <n v="5"/>
    <n v="8500"/>
    <x v="16"/>
  </r>
  <r>
    <n v="23"/>
    <x v="22"/>
    <s v="Tamer Mohamed"/>
    <x v="1"/>
    <x v="7"/>
    <n v="1"/>
    <n v="190"/>
    <x v="17"/>
  </r>
  <r>
    <n v="24"/>
    <x v="23"/>
    <s v="Khaled Hassan"/>
    <x v="1"/>
    <x v="0"/>
    <n v="6"/>
    <n v="210"/>
    <x v="18"/>
  </r>
  <r>
    <n v="25"/>
    <x v="24"/>
    <s v="Ahmed Said"/>
    <x v="2"/>
    <x v="4"/>
    <n v="2"/>
    <n v="300"/>
    <x v="13"/>
  </r>
  <r>
    <n v="26"/>
    <x v="25"/>
    <s v="Ali Ramadan"/>
    <x v="1"/>
    <x v="7"/>
    <n v="4"/>
    <n v="190"/>
    <x v="19"/>
  </r>
  <r>
    <n v="27"/>
    <x v="26"/>
    <s v="Ashraf Zaki"/>
    <x v="2"/>
    <x v="3"/>
    <n v="8"/>
    <n v="8500"/>
    <x v="20"/>
  </r>
  <r>
    <n v="28"/>
    <x v="27"/>
    <s v="Fathy Ali"/>
    <x v="1"/>
    <x v="4"/>
    <n v="3"/>
    <n v="300"/>
    <x v="21"/>
  </r>
  <r>
    <n v="29"/>
    <x v="28"/>
    <s v="Tamer Mohamed"/>
    <x v="1"/>
    <x v="4"/>
    <n v="7"/>
    <n v="300"/>
    <x v="12"/>
  </r>
  <r>
    <n v="30"/>
    <x v="29"/>
    <s v="Khaled Hassan"/>
    <x v="2"/>
    <x v="7"/>
    <n v="4"/>
    <n v="190"/>
    <x v="19"/>
  </r>
  <r>
    <n v="31"/>
    <x v="30"/>
    <s v="Ahmed Said"/>
    <x v="1"/>
    <x v="6"/>
    <n v="2"/>
    <n v="450"/>
    <x v="21"/>
  </r>
  <r>
    <n v="32"/>
    <x v="31"/>
    <s v="Ali Ramadan"/>
    <x v="0"/>
    <x v="2"/>
    <n v="3"/>
    <n v="2100"/>
    <x v="22"/>
  </r>
  <r>
    <n v="33"/>
    <x v="32"/>
    <s v="Ashraf Zaki"/>
    <x v="1"/>
    <x v="3"/>
    <n v="2"/>
    <n v="8500"/>
    <x v="23"/>
  </r>
  <r>
    <n v="34"/>
    <x v="33"/>
    <s v="Fathy Ali"/>
    <x v="2"/>
    <x v="3"/>
    <n v="8"/>
    <n v="8500"/>
    <x v="20"/>
  </r>
  <r>
    <n v="35"/>
    <x v="34"/>
    <s v="Tamer Mohamed"/>
    <x v="3"/>
    <x v="0"/>
    <n v="2"/>
    <n v="210"/>
    <x v="3"/>
  </r>
  <r>
    <n v="36"/>
    <x v="35"/>
    <s v="Khaled Hassan"/>
    <x v="3"/>
    <x v="7"/>
    <n v="2"/>
    <n v="190"/>
    <x v="24"/>
  </r>
  <r>
    <n v="37"/>
    <x v="36"/>
    <s v="Ahmed Said"/>
    <x v="3"/>
    <x v="3"/>
    <n v="3"/>
    <n v="8500"/>
    <x v="25"/>
  </r>
  <r>
    <n v="38"/>
    <x v="37"/>
    <s v="Ali Ramadan"/>
    <x v="2"/>
    <x v="0"/>
    <n v="5"/>
    <n v="210"/>
    <x v="0"/>
  </r>
  <r>
    <n v="39"/>
    <x v="38"/>
    <s v="Ashraf Zaki"/>
    <x v="1"/>
    <x v="2"/>
    <n v="5"/>
    <n v="2100"/>
    <x v="26"/>
  </r>
  <r>
    <n v="40"/>
    <x v="39"/>
    <s v="Fathy Ali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66">
      <pivotArea outline="0" collapsedLevelsAreSubtotals="1" fieldPosition="0"/>
    </format>
  </formats>
  <chartFormats count="1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6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78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6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145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6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14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54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54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51"/>
    <tableColumn id="3" xr3:uid="{5C50CE82-4D1A-4C79-9D0F-247FE1CDFA5C}" uniqueName="3" name="Salesman" queryTableFieldId="3" dataDxfId="150"/>
    <tableColumn id="4" xr3:uid="{C594ECD2-D104-43F4-A766-C80694137000}" uniqueName="4" name="Region" queryTableFieldId="4" dataDxfId="149"/>
    <tableColumn id="5" xr3:uid="{4EBFE9AF-2CF8-4086-910A-E4FE148003F0}" uniqueName="5" name="Item" queryTableFieldId="5" dataDxfId="148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showHorizontalScrollbar="0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11/relationships/timeline" Target="../timelines/timelin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workbookViewId="0">
      <selection activeCell="T19" sqref="T19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I25"/>
  <sheetViews>
    <sheetView workbookViewId="0">
      <selection activeCell="B32" sqref="B32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</cols>
  <sheetData>
    <row r="2" spans="1:9" x14ac:dyDescent="0.3">
      <c r="A2" s="7" t="s">
        <v>32</v>
      </c>
      <c r="B2" s="7"/>
      <c r="C2" s="7"/>
      <c r="D2" s="7"/>
      <c r="E2" s="7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8">
        <f>GETPIVOTDATA("Amount",$A$5)</f>
        <v>426530</v>
      </c>
      <c r="C7">
        <f>GETPIVOTDATA("Item",$C$5)</f>
        <v>40</v>
      </c>
      <c r="E7" s="9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9" x14ac:dyDescent="0.3">
      <c r="H20" s="4" t="s">
        <v>26</v>
      </c>
      <c r="I20" t="s">
        <v>28</v>
      </c>
    </row>
    <row r="21" spans="8:9" x14ac:dyDescent="0.3">
      <c r="H21" s="5" t="s">
        <v>22</v>
      </c>
      <c r="I21" s="6">
        <v>38300</v>
      </c>
    </row>
    <row r="22" spans="8:9" x14ac:dyDescent="0.3">
      <c r="H22" s="5" t="s">
        <v>9</v>
      </c>
      <c r="I22" s="6">
        <v>24270</v>
      </c>
    </row>
    <row r="23" spans="8:9" x14ac:dyDescent="0.3">
      <c r="H23" s="5" t="s">
        <v>12</v>
      </c>
      <c r="I23" s="6">
        <v>155450</v>
      </c>
    </row>
    <row r="24" spans="8:9" x14ac:dyDescent="0.3">
      <c r="H24" s="5" t="s">
        <v>20</v>
      </c>
      <c r="I24" s="6">
        <v>208510</v>
      </c>
    </row>
    <row r="25" spans="8:9" x14ac:dyDescent="0.3">
      <c r="H25" s="5" t="s">
        <v>27</v>
      </c>
      <c r="I25" s="6">
        <v>426530</v>
      </c>
    </row>
  </sheetData>
  <mergeCells count="1">
    <mergeCell ref="A2:E2"/>
  </mergeCells>
  <pageMargins left="0.7" right="0.7" top="0.75" bottom="0.75" header="0.3" footer="0.3"/>
  <drawing r:id="rId6"/>
  <extLs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2026-10-14T23:03:20Z</dcterms:modified>
</cp:coreProperties>
</file>