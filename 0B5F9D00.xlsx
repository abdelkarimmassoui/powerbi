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02C91195-3D85-4B3A-9B9B-EE19E9DBC096}"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<sst xmlns="http://schemas.openxmlformats.org/spreadsheetml/2006/main" count="282" uniqueCount="35">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</sst>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169">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1"/>
        </patternFill>
      </fill>
    </dxf>
    <dxf>
      <fill>
        <patternFill>
          <bgColor rgb="FFFFC000"/>
        </patternFill>
      </fill>
    </dxf>
    <dxf>
      <font>
        <b/>
        <sz val="11"/>
        <color theme="1"/>
      </font>
      <fill>
        <patternFill>
          <bgColor theme="3" tint="4.9989318521683403E-2"/>
        </patternFill>
      </fill>
    </dxf>
    <dxf>
      <fill>
        <patternFill patternType="solid">
          <fgColor theme="0"/>
          <bgColor rgb="FFFFC000"/>
        </patternFill>
      </fill>
      <border>
        <left style="thin">
          <color theme="1" tint="-0.499984740745262"/>
        </left>
        <right style="thin">
          <color theme="1" tint="-0.499984740745262"/>
        </right>
        <top style="thin">
          <color theme="1" tint="-0.499984740745262"/>
        </top>
        <bottom style="thin">
          <color theme="1" tint="-0.499984740745262"/>
        </bottom>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2" defaultTableStyle="TableStyleMedium2" defaultPivotStyle="PivotStyleLight16">
    <tableStyle name="Slicer Style 1" pivot="0" table="0" count="2" xr9:uid="{5E624735-CD9C-46A4-8C97-CEDA2DE3572D}">
      <tableStyleElement type="wholeTable" dxfId="148"/>
      <tableStyleElement type="headerRow" dxfId="147"/>
    </tableStyle>
    <tableStyle name="Timeline Style 1" pivot="0" table="0" count="8" xr9:uid="{116E182F-425B-4EE9-A158-B6869306FD31}">
      <tableStyleElement type="wholeTable" dxfId="150"/>
      <tableStyleElement type="headerRow" dxfId="149"/>
    </tableStyle>
  </tableStyles>
  <colors>
    <mruColors>
      <color rgb="FF8A6900"/>
      <color rgb="FFFFECAF"/>
      <color rgb="FFFFDD71"/>
      <color rgb="FFFFDC6D"/>
      <color rgb="FFEEB5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A0A4C193-F2C1-4fcb-8827-314CF55A85BB}">
      <x15:dxfs count="6">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18690</c:v>
                </c:pt>
                <c:pt idx="1">
                  <c:v>25500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amount</a:t>
            </a:r>
            <a:r>
              <a:rPr lang="en-US" b="1" baseline="0">
                <a:solidFill>
                  <a:schemeClr val="accent1">
                    <a:lumMod val="10000"/>
                  </a:schemeClr>
                </a:solidFill>
              </a:rPr>
              <a:t> by region</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rgbClr val="FFDC6D"/>
          </a:solidFill>
          <a:ln w="19050">
            <a:noFill/>
          </a:ln>
          <a:effectLst/>
        </c:spPr>
        <c:dLbl>
          <c:idx val="0"/>
          <c:layout>
            <c:manualLayout>
              <c:x val="4.0774719673802244E-2"/>
              <c:y val="-9.722222222222223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9628A3E8-53CF-42AB-9722-122A49B9AF82}" type="CELLRANGE">
                  <a:rPr lang="en-US"/>
                  <a:pPr>
                    <a:defRPr b="1">
                      <a:solidFill>
                        <a:schemeClr val="accent1">
                          <a:lumMod val="10000"/>
                        </a:schemeClr>
                      </a:solidFill>
                    </a:defRPr>
                  </a:pPr>
                  <a:t>[CELLRANGE]</a:t>
                </a:fld>
                <a:r>
                  <a:rPr lang="en-US" baseline="0"/>
                  <a:t>, </a:t>
                </a:r>
                <a:fld id="{C77A71F5-51C9-4220-9A55-45AA59BA0657}"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EEB500"/>
          </a:solidFill>
          <a:ln w="19050">
            <a:noFill/>
          </a:ln>
          <a:effectLst/>
        </c:spPr>
        <c:dLbl>
          <c:idx val="0"/>
          <c:layout>
            <c:manualLayout>
              <c:x val="0.12742099898063192"/>
              <c:y val="-7.870370370370374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4CDE4E97-384B-422C-9BD2-F010A60A42D3}" type="CELLRANGE">
                  <a:rPr lang="en-US"/>
                  <a:pPr>
                    <a:defRPr b="1">
                      <a:solidFill>
                        <a:schemeClr val="accent1">
                          <a:lumMod val="10000"/>
                        </a:schemeClr>
                      </a:solidFill>
                    </a:defRPr>
                  </a:pPr>
                  <a:t>[CELLRANGE]</a:t>
                </a:fld>
                <a:r>
                  <a:rPr lang="en-US" baseline="0"/>
                  <a:t>, </a:t>
                </a:r>
                <a:fld id="{D890404F-66EA-4160-8928-898EFABA1C5D}"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rgbClr val="8A6900"/>
          </a:solidFill>
          <a:ln w="19050">
            <a:no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E8F79B11-EC4F-4699-BA5F-368176DA7F12}" type="CELLRANGE">
                  <a:rPr lang="en-US" baseline="0"/>
                  <a:pPr>
                    <a:defRPr b="1">
                      <a:solidFill>
                        <a:schemeClr val="accent1">
                          <a:lumMod val="10000"/>
                        </a:schemeClr>
                      </a:solidFill>
                    </a:defRPr>
                  </a:pPr>
                  <a:t>[CELLRANGE]</a:t>
                </a:fld>
                <a:r>
                  <a:rPr lang="en-US" baseline="0"/>
                  <a:t>, </a:t>
                </a:r>
                <a:fld id="{C9B23524-FF3C-4AB3-A66C-683C4B4DF07A}"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rgbClr val="FFECAF"/>
          </a:solidFill>
          <a:ln w="19050">
            <a:noFill/>
          </a:ln>
          <a:effectLst/>
        </c:spPr>
        <c:dLbl>
          <c:idx val="0"/>
          <c:layout>
            <c:manualLayout>
              <c:x val="-9.1743119266055051E-2"/>
              <c:y val="9.72222222222221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F1EF6902-B147-4DE9-A470-5D45FFF25785}" type="CELLRANGE">
                  <a:rPr lang="en-US"/>
                  <a:pPr>
                    <a:defRPr b="1">
                      <a:solidFill>
                        <a:schemeClr val="accent1">
                          <a:lumMod val="10000"/>
                        </a:schemeClr>
                      </a:solidFill>
                    </a:defRPr>
                  </a:pPr>
                  <a:t>[CELLRANGE]</a:t>
                </a:fld>
                <a:r>
                  <a:rPr lang="en-US" baseline="0"/>
                  <a:t>, </a:t>
                </a:r>
                <a:fld id="{561A5D49-C7A6-4F9E-A5DC-7B56F775A238}"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rgbClr val="FFDC6D"/>
              </a:solidFill>
              <a:ln w="19050">
                <a:noFill/>
              </a:ln>
              <a:effectLst/>
            </c:spPr>
            <c:extLst>
              <c:ext xmlns:c16="http://schemas.microsoft.com/office/drawing/2014/chart" uri="{C3380CC4-5D6E-409C-BE32-E72D297353CC}">
                <c16:uniqueId val="{00000001-176F-40FB-A8D7-950581BCD903}"/>
              </c:ext>
            </c:extLst>
          </c:dPt>
          <c:dPt>
            <c:idx val="1"/>
            <c:bubble3D val="0"/>
            <c:spPr>
              <a:solidFill>
                <a:srgbClr val="EEB500"/>
              </a:solidFill>
              <a:ln w="19050">
                <a:noFill/>
              </a:ln>
              <a:effectLst/>
            </c:spPr>
            <c:extLst>
              <c:ext xmlns:c16="http://schemas.microsoft.com/office/drawing/2014/chart" uri="{C3380CC4-5D6E-409C-BE32-E72D297353CC}">
                <c16:uniqueId val="{00000003-176F-40FB-A8D7-950581BCD903}"/>
              </c:ext>
            </c:extLst>
          </c:dPt>
          <c:dPt>
            <c:idx val="2"/>
            <c:bubble3D val="0"/>
            <c:spPr>
              <a:solidFill>
                <a:srgbClr val="8A6900"/>
              </a:solidFill>
              <a:ln w="19050">
                <a:noFill/>
              </a:ln>
              <a:effectLst/>
            </c:spPr>
            <c:extLst>
              <c:ext xmlns:c16="http://schemas.microsoft.com/office/drawing/2014/chart" uri="{C3380CC4-5D6E-409C-BE32-E72D297353CC}">
                <c16:uniqueId val="{00000005-176F-40FB-A8D7-950581BCD903}"/>
              </c:ext>
            </c:extLst>
          </c:dPt>
          <c:dPt>
            <c:idx val="3"/>
            <c:bubble3D val="0"/>
            <c:spPr>
              <a:solidFill>
                <a:srgbClr val="FFECAF"/>
              </a:solidFill>
              <a:ln w="19050">
                <a:noFill/>
              </a:ln>
              <a:effectLst/>
            </c:spPr>
            <c:extLst>
              <c:ext xmlns:c16="http://schemas.microsoft.com/office/drawing/2014/chart" uri="{C3380CC4-5D6E-409C-BE32-E72D297353CC}">
                <c16:uniqueId val="{00000007-176F-40FB-A8D7-950581BCD903}"/>
              </c:ext>
            </c:extLst>
          </c:dPt>
          <c:dLbls>
            <c:dLbl>
              <c:idx val="0"/>
              <c:layout>
                <c:manualLayout>
                  <c:x val="4.0774719673802244E-2"/>
                  <c:y val="-9.7222222222222238E-2"/>
                </c:manualLayout>
              </c:layout>
              <c:tx>
                <c:rich>
                  <a:bodyPr/>
                  <a:lstStyle/>
                  <a:p>
                    <a:fld id="{9628A3E8-53CF-42AB-9722-122A49B9AF82}" type="CELLRANGE">
                      <a:rPr lang="en-US"/>
                      <a:pPr/>
                      <a:t>[CELLRANGE]</a:t>
                    </a:fld>
                    <a:r>
                      <a:rPr lang="en-US" baseline="0"/>
                      <a:t>, </a:t>
                    </a:r>
                    <a:fld id="{C77A71F5-51C9-4220-9A55-45AA59BA0657}"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dLbl>
              <c:idx val="1"/>
              <c:layout>
                <c:manualLayout>
                  <c:x val="0.12742099898063192"/>
                  <c:y val="-7.8703703703703748E-2"/>
                </c:manualLayout>
              </c:layout>
              <c:tx>
                <c:rich>
                  <a:bodyPr/>
                  <a:lstStyle/>
                  <a:p>
                    <a:fld id="{4CDE4E97-384B-422C-9BD2-F010A60A42D3}" type="CELLRANGE">
                      <a:rPr lang="en-US"/>
                      <a:pPr/>
                      <a:t>[CELLRANGE]</a:t>
                    </a:fld>
                    <a:r>
                      <a:rPr lang="en-US" baseline="0"/>
                      <a:t>, </a:t>
                    </a:r>
                    <a:fld id="{D890404F-66EA-4160-8928-898EFABA1C5D}"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76F-40FB-A8D7-950581BCD903}"/>
                </c:ext>
              </c:extLst>
            </c:dLbl>
            <c:dLbl>
              <c:idx val="2"/>
              <c:layout>
                <c:manualLayout>
                  <c:x val="8.1549439347604488E-2"/>
                  <c:y val="0.12037037037037028"/>
                </c:manualLayout>
              </c:layout>
              <c:tx>
                <c:rich>
                  <a:bodyPr/>
                  <a:lstStyle/>
                  <a:p>
                    <a:fld id="{E8F79B11-EC4F-4699-BA5F-368176DA7F12}" type="CELLRANGE">
                      <a:rPr lang="en-US" baseline="0"/>
                      <a:pPr/>
                      <a:t>[CELLRANGE]</a:t>
                    </a:fld>
                    <a:r>
                      <a:rPr lang="en-US" baseline="0"/>
                      <a:t>, </a:t>
                    </a:r>
                    <a:fld id="{C9B23524-FF3C-4AB3-A66C-683C4B4DF07A}"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76F-40FB-A8D7-950581BCD903}"/>
                </c:ext>
              </c:extLst>
            </c:dLbl>
            <c:dLbl>
              <c:idx val="3"/>
              <c:layout>
                <c:manualLayout>
                  <c:x val="-9.1743119266055051E-2"/>
                  <c:y val="9.722222222222214E-2"/>
                </c:manualLayout>
              </c:layout>
              <c:tx>
                <c:rich>
                  <a:bodyPr/>
                  <a:lstStyle/>
                  <a:p>
                    <a:fld id="{F1EF6902-B147-4DE9-A470-5D45FFF25785}" type="CELLRANGE">
                      <a:rPr lang="en-US"/>
                      <a:pPr/>
                      <a:t>[CELLRANGE]</a:t>
                    </a:fld>
                    <a:r>
                      <a:rPr lang="en-US" baseline="0"/>
                      <a:t>, </a:t>
                    </a:r>
                    <a:fld id="{561A5D49-C7A6-4F9E-A5DC-7B56F775A238}"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4"/>
                <c:pt idx="0">
                  <c:v>Alexandria</c:v>
                </c:pt>
                <c:pt idx="1">
                  <c:v>Cairo</c:v>
                </c:pt>
                <c:pt idx="2">
                  <c:v>Domietta</c:v>
                </c:pt>
                <c:pt idx="3">
                  <c:v>Giza</c:v>
                </c:pt>
              </c:strCache>
            </c:strRef>
          </c:cat>
          <c:val>
            <c:numRef>
              <c:f>'data analysis'!$H$21:$H$24</c:f>
              <c:numCache>
                <c:formatCode>General</c:formatCode>
                <c:ptCount val="4"/>
                <c:pt idx="0">
                  <c:v>25500</c:v>
                </c:pt>
                <c:pt idx="1">
                  <c:v>1050</c:v>
                </c:pt>
                <c:pt idx="2">
                  <c:v>2040</c:v>
                </c:pt>
                <c:pt idx="3">
                  <c:v>15600</c:v>
                </c:pt>
              </c:numCache>
            </c:numRef>
          </c:val>
          <c:extLst>
            <c:ext xmlns:c15="http://schemas.microsoft.com/office/drawing/2012/chart" uri="{02D57815-91ED-43cb-92C2-25804820EDAC}">
              <c15:datalabelsRange>
                <c15:f>'data analysis'!$H$21:$H$24</c15:f>
                <c15:dlblRangeCache>
                  <c:ptCount val="4"/>
                  <c:pt idx="0">
                    <c:v>Alexandria</c:v>
                  </c:pt>
                  <c:pt idx="1">
                    <c:v>Cairo</c:v>
                  </c:pt>
                  <c:pt idx="2">
                    <c:v>Domietta</c:v>
                  </c:pt>
                  <c:pt idx="3">
                    <c:v>Giza</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10000"/>
                  </a:schemeClr>
                </a:solidFill>
              </a:rPr>
              <a:t>top</a:t>
            </a:r>
            <a:r>
              <a:rPr lang="en-US" b="1" baseline="0">
                <a:solidFill>
                  <a:schemeClr val="accent1">
                    <a:lumMod val="10000"/>
                  </a:schemeClr>
                </a:solidFill>
              </a:rPr>
              <a:t> product by amount</a:t>
            </a:r>
            <a:r>
              <a:rPr lang="en-US" b="1">
                <a:solidFill>
                  <a:schemeClr val="accent1">
                    <a:lumMod val="10000"/>
                  </a:scheme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EB500"/>
          </a:solidFill>
          <a:ln>
            <a:noFill/>
          </a:ln>
          <a:effectLst/>
        </c:spPr>
      </c:pivotFmt>
      <c:pivotFmt>
        <c:idx val="4"/>
        <c:spPr>
          <a:solidFill>
            <a:srgbClr val="8A6900"/>
          </a:solidFill>
          <a:ln>
            <a:noFill/>
          </a:ln>
          <a:effectLst/>
        </c:spPr>
      </c:pivotFmt>
      <c:pivotFmt>
        <c:idx val="5"/>
        <c:spPr>
          <a:solidFill>
            <a:srgbClr val="FFDC6D"/>
          </a:solidFill>
          <a:ln>
            <a:noFill/>
          </a:ln>
          <a:effectLst/>
        </c:spPr>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Pt>
            <c:idx val="0"/>
            <c:invertIfNegative val="0"/>
            <c:bubble3D val="0"/>
            <c:spPr>
              <a:solidFill>
                <a:srgbClr val="EEB500"/>
              </a:solidFill>
              <a:ln>
                <a:noFill/>
              </a:ln>
              <a:effectLst/>
            </c:spPr>
            <c:extLst>
              <c:ext xmlns:c16="http://schemas.microsoft.com/office/drawing/2014/chart" uri="{C3380CC4-5D6E-409C-BE32-E72D297353CC}">
                <c16:uniqueId val="{00000000-5A75-4B97-9278-D824DAFE0E46}"/>
              </c:ext>
            </c:extLst>
          </c:dPt>
          <c:dPt>
            <c:idx val="1"/>
            <c:invertIfNegative val="0"/>
            <c:bubble3D val="0"/>
            <c:spPr>
              <a:solidFill>
                <a:srgbClr val="8A6900"/>
              </a:solidFill>
              <a:ln>
                <a:noFill/>
              </a:ln>
              <a:effectLst/>
            </c:spPr>
            <c:extLst>
              <c:ext xmlns:c16="http://schemas.microsoft.com/office/drawing/2014/chart" uri="{C3380CC4-5D6E-409C-BE32-E72D297353CC}">
                <c16:uniqueId val="{00000001-5A75-4B97-9278-D824DAFE0E4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Keyboard</c:v>
                </c:pt>
              </c:strCache>
            </c:strRef>
          </c:cat>
          <c:val>
            <c:numRef>
              <c:f>'data analysis'!$M$22:$M$25</c:f>
              <c:numCache>
                <c:formatCode>General</c:formatCode>
                <c:ptCount val="3"/>
                <c:pt idx="0">
                  <c:v>25500</c:v>
                </c:pt>
                <c:pt idx="1">
                  <c:v>14700</c:v>
                </c:pt>
                <c:pt idx="2">
                  <c:v>1140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15875" cap="flat" cmpd="sng" algn="ctr">
            <a:solidFill>
              <a:schemeClr val="tx1">
                <a:lumMod val="95000"/>
                <a:lumOff val="5000"/>
              </a:schemeClr>
            </a:solidFill>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9525" cap="flat" cmpd="sng" algn="ctr">
      <a:solidFill>
        <a:srgbClr val="FFC000"/>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r>
              <a:rPr lang="en-US" b="1">
                <a:solidFill>
                  <a:schemeClr val="bg2">
                    <a:lumMod val="10000"/>
                  </a:schemeClr>
                </a:solidFill>
              </a:rPr>
              <a:t>top</a:t>
            </a:r>
            <a:r>
              <a:rPr lang="en-US" b="1" baseline="0">
                <a:solidFill>
                  <a:schemeClr val="bg2">
                    <a:lumMod val="10000"/>
                  </a:schemeClr>
                </a:solidFill>
              </a:rPr>
              <a:t> salers</a:t>
            </a:r>
            <a:endParaRPr lang="en-US"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D71"/>
          </a:solidFill>
          <a:ln>
            <a:noFill/>
          </a:ln>
          <a:effectLst/>
        </c:spPr>
      </c:pivotFmt>
      <c:pivotFmt>
        <c:idx val="4"/>
        <c:spPr>
          <a:solidFill>
            <a:srgbClr val="FFDD71"/>
          </a:solidFill>
          <a:ln>
            <a:noFill/>
          </a:ln>
          <a:effectLst/>
        </c:spPr>
      </c:pivotFmt>
      <c:pivotFmt>
        <c:idx val="5"/>
        <c:spPr>
          <a:solidFill>
            <a:srgbClr val="FFECAF"/>
          </a:solidFill>
          <a:ln>
            <a:noFill/>
          </a:ln>
          <a:effectLst/>
        </c:spPr>
      </c:pivotFmt>
      <c:pivotFmt>
        <c:idx val="6"/>
        <c:spPr>
          <a:solidFill>
            <a:srgbClr val="FFECAF"/>
          </a:solidFill>
          <a:ln>
            <a:noFill/>
          </a:ln>
          <a:effectLst/>
        </c:spPr>
      </c:pivotFmt>
      <c:pivotFmt>
        <c:idx val="7"/>
        <c:spPr>
          <a:solidFill>
            <a:srgbClr val="8A6900"/>
          </a:solidFill>
          <a:ln>
            <a:noFill/>
          </a:ln>
          <a:effectLst/>
        </c:spPr>
      </c:pivotFmt>
      <c:pivotFmt>
        <c:idx val="8"/>
        <c:spPr>
          <a:solidFill>
            <a:srgbClr val="8A6900"/>
          </a:solidFill>
          <a:ln>
            <a:noFill/>
          </a:ln>
          <a:effectLst/>
        </c:spPr>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Pt>
            <c:idx val="0"/>
            <c:invertIfNegative val="0"/>
            <c:bubble3D val="0"/>
            <c:spPr>
              <a:solidFill>
                <a:srgbClr val="8A6900"/>
              </a:solidFill>
              <a:ln>
                <a:noFill/>
              </a:ln>
              <a:effectLst/>
            </c:spPr>
            <c:extLst>
              <c:ext xmlns:c16="http://schemas.microsoft.com/office/drawing/2014/chart" uri="{C3380CC4-5D6E-409C-BE32-E72D297353CC}">
                <c16:uniqueId val="{00000005-42EE-4921-8F4A-7E5156F8A37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analysis'!$H$36:$H$37</c:f>
              <c:strCache>
                <c:ptCount val="1"/>
                <c:pt idx="0">
                  <c:v>Ahmed Said</c:v>
                </c:pt>
              </c:strCache>
            </c:strRef>
          </c:cat>
          <c:val>
            <c:numRef>
              <c:f>'data analysis'!$I$36:$I$37</c:f>
              <c:numCache>
                <c:formatCode>General</c:formatCode>
                <c:ptCount val="1"/>
                <c:pt idx="0">
                  <c:v>44190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15875" cap="flat" cmpd="sng" algn="ctr">
            <a:solidFill>
              <a:schemeClr val="tx1">
                <a:lumMod val="95000"/>
                <a:lumOff val="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18690</c:v>
                </c:pt>
                <c:pt idx="1">
                  <c:v>25500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analysis'!$H$21:$H$25</c:f>
              <c:strCache>
                <c:ptCount val="4"/>
                <c:pt idx="0">
                  <c:v>Alexandria</c:v>
                </c:pt>
                <c:pt idx="1">
                  <c:v>Cairo</c:v>
                </c:pt>
                <c:pt idx="2">
                  <c:v>Domietta</c:v>
                </c:pt>
                <c:pt idx="3">
                  <c:v>Giza</c:v>
                </c:pt>
              </c:strCache>
            </c:strRef>
          </c:cat>
          <c:val>
            <c:numRef>
              <c:f>'data analysis'!$I$21:$I$25</c:f>
              <c:numCache>
                <c:formatCode>General</c:formatCode>
                <c:ptCount val="4"/>
                <c:pt idx="0">
                  <c:v>25500</c:v>
                </c:pt>
                <c:pt idx="1">
                  <c:v>1050</c:v>
                </c:pt>
                <c:pt idx="2">
                  <c:v>2040</c:v>
                </c:pt>
                <c:pt idx="3">
                  <c:v>15600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Keyboard</c:v>
                </c:pt>
              </c:strCache>
            </c:strRef>
          </c:cat>
          <c:val>
            <c:numRef>
              <c:f>'data analysis'!$M$22:$M$25</c:f>
              <c:numCache>
                <c:formatCode>General</c:formatCode>
                <c:ptCount val="3"/>
                <c:pt idx="0">
                  <c:v>25500</c:v>
                </c:pt>
                <c:pt idx="1">
                  <c:v>14700</c:v>
                </c:pt>
                <c:pt idx="2">
                  <c:v>1140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analysis'!$H$36:$H$37</c:f>
              <c:strCache>
                <c:ptCount val="1"/>
                <c:pt idx="0">
                  <c:v>Ahmed Said</c:v>
                </c:pt>
              </c:strCache>
            </c:strRef>
          </c:cat>
          <c:val>
            <c:numRef>
              <c:f>'data analysis'!$I$36:$I$37</c:f>
              <c:numCache>
                <c:formatCode>General</c:formatCode>
                <c:ptCount val="1"/>
                <c:pt idx="0">
                  <c:v>44190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$44,190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7</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6313</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3175">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16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163">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showAll="0">
      <items count="5">
        <item x="3"/>
        <item x="0"/>
        <item x="1"/>
        <item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164">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37"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h="1" x="1"/>
        <item h="1" x="2"/>
        <item h="1" x="3"/>
        <item h="1" x="5"/>
        <item h="1"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2">
    <i>
      <x/>
    </i>
    <i t="grand">
      <x/>
    </i>
  </rowItems>
  <colItems count="1">
    <i/>
  </colItems>
  <dataFields count="1">
    <dataField name="Sum of Amount" fld="7" baseField="0" baseItem="0"/>
  </dataFields>
  <formats count="1">
    <format dxfId="165">
      <pivotArea outline="0" collapsedLevelsAreSubtotals="1" fieldPosition="0"/>
    </format>
  </formats>
  <chartFormats count="11">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 count="1" selected="0">
            <x v="5"/>
          </reference>
        </references>
      </pivotArea>
    </chartFormat>
    <chartFormat chart="8" format="4">
      <pivotArea type="data" outline="0" fieldPosition="0">
        <references count="2">
          <reference field="4294967294" count="1" selected="0">
            <x v="0"/>
          </reference>
          <reference field="2" count="1" selected="0">
            <x v="4"/>
          </reference>
        </references>
      </pivotArea>
    </chartFormat>
    <chartFormat chart="8" format="5">
      <pivotArea type="data" outline="0" fieldPosition="0">
        <references count="2">
          <reference field="4294967294" count="1" selected="0">
            <x v="0"/>
          </reference>
          <reference field="2" count="1" selected="0">
            <x v="3"/>
          </reference>
        </references>
      </pivotArea>
    </chartFormat>
    <chartFormat chart="8" format="6">
      <pivotArea type="data" outline="0" fieldPosition="0">
        <references count="2">
          <reference field="4294967294" count="1" selected="0">
            <x v="0"/>
          </reference>
          <reference field="2" count="1" selected="0">
            <x v="2"/>
          </reference>
        </references>
      </pivotArea>
    </chartFormat>
    <chartFormat chart="8" format="7">
      <pivotArea type="data" outline="0" fieldPosition="0">
        <references count="2">
          <reference field="4294967294" count="1" selected="0">
            <x v="0"/>
          </reference>
          <reference field="2" count="1" selected="0">
            <x v="1"/>
          </reference>
        </references>
      </pivotArea>
    </chartFormat>
    <chartFormat chart="8" format="8">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showAll="0">
      <items count="5">
        <item x="3"/>
        <item x="0"/>
        <item x="1"/>
        <item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1"/>
    </i>
    <i t="grand">
      <x/>
    </i>
  </rowItems>
  <colItems count="1">
    <i/>
  </colItems>
  <dataFields count="1">
    <dataField name="Sum of Amount" fld="7" baseField="0" baseItem="0"/>
  </dataFields>
  <formats count="1">
    <format dxfId="166">
      <pivotArea outline="0" collapsedLevelsAreSubtotals="1" fieldPosition="0"/>
    </format>
  </formats>
  <chartFormats count="8">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4" count="1" selected="0">
            <x v="2"/>
          </reference>
        </references>
      </pivotArea>
    </chartFormat>
    <chartFormat chart="8" format="4">
      <pivotArea type="data" outline="0" fieldPosition="0">
        <references count="2">
          <reference field="4294967294" count="1" selected="0">
            <x v="0"/>
          </reference>
          <reference field="4" count="1" selected="0">
            <x v="5"/>
          </reference>
        </references>
      </pivotArea>
    </chartFormat>
    <chartFormat chart="8" format="5">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167">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h="1" x="1"/>
        <item h="1" x="2"/>
        <item h="1" x="3"/>
        <item h="1" x="5"/>
        <item h="1" x="4"/>
        <item t="default"/>
      </items>
    </pivotField>
    <pivotField axis="axisRow"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formats count="1">
    <format dxfId="168">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i x="2"/>
        <i x="3"/>
        <i x="5"/>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style="Slicer Style 1" rowHeight="247650"/>
  <slicer name="Region 1" xr10:uid="{E3223445-0FF4-4A60-A5DF-67216457E98D}" cache="Slicer_Region" caption="Region" style="Slicer Style 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161"/>
    <tableColumn id="3" xr3:uid="{5C50CE82-4D1A-4C79-9D0F-247FE1CDFA5C}" uniqueName="3" name="Salesman" queryTableFieldId="3" dataDxfId="160"/>
    <tableColumn id="4" xr3:uid="{C594ECD2-D104-43F4-A766-C80694137000}" uniqueName="4" name="Region" queryTableFieldId="4" dataDxfId="159"/>
    <tableColumn id="5" xr3:uid="{4EBFE9AF-2CF8-4086-910A-E4FE148003F0}" uniqueName="5" name="Item" queryTableFieldId="5" dataDxfId="158"/>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T31" sqref="T3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37"/>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44190</v>
      </c>
      <c r="C6" s="6">
        <v>7</v>
      </c>
      <c r="E6" s="6">
        <v>6312.8571428571431</v>
      </c>
      <c r="H6" s="5" t="s">
        <v>33</v>
      </c>
      <c r="I6" s="6">
        <v>18690</v>
      </c>
    </row>
    <row r="7" spans="1:9" x14ac:dyDescent="0.3">
      <c r="A7" s="7">
        <f>GETPIVOTDATA("Amount",$A$5)</f>
        <v>44190</v>
      </c>
      <c r="C7">
        <f>GETPIVOTDATA("Item",$C$5)</f>
        <v>7</v>
      </c>
      <c r="E7" s="8">
        <f>GETPIVOTDATA("Amount",$E$5)</f>
        <v>6312.8571428571431</v>
      </c>
      <c r="H7" s="5" t="s">
        <v>34</v>
      </c>
      <c r="I7" s="6">
        <v>25500</v>
      </c>
    </row>
    <row r="8" spans="1:9" x14ac:dyDescent="0.3">
      <c r="H8" s="5" t="s">
        <v>27</v>
      </c>
      <c r="I8" s="6">
        <v>44190</v>
      </c>
    </row>
    <row r="20" spans="8:13" x14ac:dyDescent="0.3">
      <c r="H20" s="4" t="s">
        <v>26</v>
      </c>
      <c r="I20" t="s">
        <v>28</v>
      </c>
    </row>
    <row r="21" spans="8:13" x14ac:dyDescent="0.3">
      <c r="H21" s="5" t="s">
        <v>22</v>
      </c>
      <c r="I21" s="6">
        <v>25500</v>
      </c>
      <c r="L21" s="4" t="s">
        <v>26</v>
      </c>
      <c r="M21" t="s">
        <v>28</v>
      </c>
    </row>
    <row r="22" spans="8:13" x14ac:dyDescent="0.3">
      <c r="H22" s="5" t="s">
        <v>9</v>
      </c>
      <c r="I22" s="6">
        <v>1050</v>
      </c>
      <c r="L22" s="5" t="s">
        <v>19</v>
      </c>
      <c r="M22" s="6">
        <v>25500</v>
      </c>
    </row>
    <row r="23" spans="8:13" x14ac:dyDescent="0.3">
      <c r="H23" s="5" t="s">
        <v>12</v>
      </c>
      <c r="I23" s="6">
        <v>2040</v>
      </c>
      <c r="L23" s="5" t="s">
        <v>15</v>
      </c>
      <c r="M23" s="6">
        <v>14700</v>
      </c>
    </row>
    <row r="24" spans="8:13" x14ac:dyDescent="0.3">
      <c r="H24" s="5" t="s">
        <v>20</v>
      </c>
      <c r="I24" s="6">
        <v>15600</v>
      </c>
      <c r="L24" s="5" t="s">
        <v>25</v>
      </c>
      <c r="M24" s="6">
        <v>1140</v>
      </c>
    </row>
    <row r="25" spans="8:13" x14ac:dyDescent="0.3">
      <c r="H25" s="5" t="s">
        <v>27</v>
      </c>
      <c r="I25" s="6">
        <v>44190</v>
      </c>
      <c r="L25" s="5" t="s">
        <v>27</v>
      </c>
      <c r="M25" s="6">
        <v>41340</v>
      </c>
    </row>
    <row r="35" spans="8:9" x14ac:dyDescent="0.3">
      <c r="H35" s="4" t="s">
        <v>26</v>
      </c>
      <c r="I35" t="s">
        <v>28</v>
      </c>
    </row>
    <row r="36" spans="8:9" x14ac:dyDescent="0.3">
      <c r="H36" s="5" t="s">
        <v>8</v>
      </c>
      <c r="I36" s="6">
        <v>44190</v>
      </c>
    </row>
    <row r="37" spans="8:9" x14ac:dyDescent="0.3">
      <c r="H37" s="5" t="s">
        <v>27</v>
      </c>
      <c r="I37" s="6">
        <v>44190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2026-10-18T22:47:44Z</dcterms:modified>
</cp:coreProperties>
</file>