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405FA0EE-B8B4-461D-998E-54322F14677A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  <definedName name="NativeTimeline_Date">#N/A</definedName>
  </definedNames>
  <calcPr calcId="191029"/>
  <pivotCaches>
    <pivotCache cacheId="1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3" l="1"/>
  <c r="E7" i="3"/>
  <c r="A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<sst xmlns="http://schemas.openxmlformats.org/spreadsheetml/2006/main" count="284" uniqueCount="35">
  <si>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</si>
  <si>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</si>
  <si>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</si>
  <si>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</si>
  <si>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</si>
  <si>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</si>
  <si>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</si>
  <si>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</si>
  <si>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</si>
  <si>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</si>
  <si>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</si>
  <si>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</si>
  <si>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</si>
  <si>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</si>
  <si>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</si>
  <si>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</si>
  <si>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</si>
  <si>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</si>
  <si>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</si>
  <si>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</si>
  <si>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</si>
  <si>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</si>
  <si>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</si>
  <si>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</si>
  <si>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</si>
  <si>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</si>
  <si>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Row Labels</t>
  </si>
  <si>
    <t>Grand Total</t>
  </si>
  <si>
    <t>Sum of Amount</t>
  </si>
  <si>
    <t>TOTAL SALES</t>
  </si>
  <si>
    <t>TOTAL ITEM</t>
  </si>
  <si>
    <t>AVG SALES</t>
  </si>
  <si>
    <t>KPIS</t>
  </si>
  <si>
    <t>Jan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</si>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</sst>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NumberFormat="1" applyFill="1"/>
    <xf numFmtId="164" fontId="0" fillId="2" borderId="0" xfId="1" applyNumberFormat="1" applyFont="1" applyFill="1"/>
    <xf numFmtId="1" fontId="0" fillId="0" borderId="0" xfId="0" applyNumberFormat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158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</a:t>
            </a:r>
            <a:r>
              <a:rPr lang="en-US" b="1" baseline="0"/>
              <a:t> by months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4-4D15-873C-9CE162229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amount</a:t>
            </a:r>
            <a:r>
              <a:rPr lang="en-US" b="1" baseline="0"/>
              <a:t> by region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0774719673802244E-2"/>
              <c:y val="-9.722222222222223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364F027-7915-4FC4-98E9-5FBD4211DA5F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AE79E41E-D487-47FD-9DB4-58CF4B1E1903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42099898063192"/>
              <c:y val="-7.870370370370374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66DE493-B2D2-4D93-979E-2490F3FB57A3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700C7C70-6990-44C4-9952-E54C03C0E387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1549439347604488E-2"/>
              <c:y val="0.12037037037037028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E8609EB-FC7D-4956-8D8B-0855137104B7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FA007AAC-3BD6-4B03-B254-658DBCFA9BF1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1743119266055051E-2"/>
              <c:y val="9.72222222222221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E03FDEC3-EC48-4276-A626-DC74294E4C15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A51CEAFA-865B-474F-ACA8-8658010FFDCC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analysis'!$H$21:$H$24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6F-40FB-A8D7-950581BCD9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6F-40FB-A8D7-950581BCD9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6F-40FB-A8D7-950581BCD9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6F-40FB-A8D7-950581BCD903}"/>
              </c:ext>
            </c:extLst>
          </c:dPt>
          <c:dLbls>
            <c:dLbl>
              <c:idx val="0"/>
              <c:layout>
                <c:manualLayout>
                  <c:x val="4.0774719673802244E-2"/>
                  <c:y val="-9.7222222222222238E-2"/>
                </c:manualLayout>
              </c:layout>
              <c:tx>
                <c:rich>
                  <a:bodyPr/>
                  <a:lstStyle/>
                  <a:p>
                    <a:fld id="{A364F027-7915-4FC4-98E9-5FBD4211DA5F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E79E41E-D487-47FD-9DB4-58CF4B1E1903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76F-40FB-A8D7-950581BCD903}"/>
                </c:ext>
              </c:extLst>
            </c:dLbl>
            <c:dLbl>
              <c:idx val="1"/>
              <c:layout>
                <c:manualLayout>
                  <c:x val="0.12742099898063192"/>
                  <c:y val="-7.8703703703703748E-2"/>
                </c:manualLayout>
              </c:layout>
              <c:tx>
                <c:rich>
                  <a:bodyPr/>
                  <a:lstStyle/>
                  <a:p>
                    <a:fld id="{566DE493-B2D2-4D93-979E-2490F3FB57A3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700C7C70-6990-44C4-9952-E54C03C0E38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76F-40FB-A8D7-950581BCD903}"/>
                </c:ext>
              </c:extLst>
            </c:dLbl>
            <c:dLbl>
              <c:idx val="2"/>
              <c:layout>
                <c:manualLayout>
                  <c:x val="8.1549439347604488E-2"/>
                  <c:y val="0.12037037037037028"/>
                </c:manualLayout>
              </c:layout>
              <c:tx>
                <c:rich>
                  <a:bodyPr/>
                  <a:lstStyle/>
                  <a:p>
                    <a:fld id="{CE8609EB-FC7D-4956-8D8B-0855137104B7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FA007AAC-3BD6-4B03-B254-658DBCFA9BF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76F-40FB-A8D7-950581BCD903}"/>
                </c:ext>
              </c:extLst>
            </c:dLbl>
            <c:dLbl>
              <c:idx val="3"/>
              <c:layout>
                <c:manualLayout>
                  <c:x val="-9.1743119266055051E-2"/>
                  <c:y val="9.722222222222214E-2"/>
                </c:manualLayout>
              </c:layout>
              <c:tx>
                <c:rich>
                  <a:bodyPr/>
                  <a:lstStyle/>
                  <a:p>
                    <a:fld id="{E03FDEC3-EC48-4276-A626-DC74294E4C15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51CEAFA-865B-474F-ACA8-8658010FFDC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176F-40FB-A8D7-950581BCD9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'data analysis'!$H$21:$H$24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analysis'!$H$21:$H$24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'data analysis'!$H$21:$H$24</c15:f>
                <c15:dlblRangeCache>
                  <c:ptCount val="4"/>
                  <c:pt idx="0">
                    <c:v>Alexandria</c:v>
                  </c:pt>
                  <c:pt idx="1">
                    <c:v>Cairo</c:v>
                  </c:pt>
                  <c:pt idx="2">
                    <c:v>Domietta</c:v>
                  </c:pt>
                  <c:pt idx="3">
                    <c:v>Giza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176F-40FB-A8D7-950581BCD9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prouct by amount</a:t>
            </a:r>
            <a:r>
              <a:rPr lang="en-US" b="1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2-4940-A47D-8ADBE66178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salers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66010</c:v>
                </c:pt>
                <c:pt idx="1">
                  <c:v>121600</c:v>
                </c:pt>
                <c:pt idx="2">
                  <c:v>123820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77-4FC9-8CDC-48B8A48BD2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0-42B1-9B26-8E6C39327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7C-4FCC-B56E-32017B38C3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7C-4FCC-B56E-32017B38C3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7C-4FCC-B56E-32017B38C3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7C-4FCC-B56E-32017B38C32B}"/>
              </c:ext>
            </c:extLst>
          </c:dPt>
          <c:cat>
            <c:strRef>
              <c:f>'data analysis'!$H$21:$H$25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analysis'!$I$21:$I$25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3-46DC-BCB9-EEF66AC13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9-4E31-B20D-98DCAA019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analysis!PivotTable7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'data analysis'!$I$35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analysis'!$H$36:$H$39</c:f>
              <c:strCache>
                <c:ptCount val="3"/>
                <c:pt idx="0">
                  <c:v>Ali Ramadan</c:v>
                </c:pt>
                <c:pt idx="1">
                  <c:v>Ashraf Zaki</c:v>
                </c:pt>
                <c:pt idx="2">
                  <c:v>Fathy Ali</c:v>
                </c:pt>
              </c:strCache>
            </c:strRef>
          </c:cat>
          <c:val>
            <c:numRef>
              <c:f>'data analysis'!$I$36:$I$39</c:f>
              <c:numCache>
                <c:formatCode>General</c:formatCode>
                <c:ptCount val="3"/>
                <c:pt idx="0">
                  <c:v>66010</c:v>
                </c:pt>
                <c:pt idx="1">
                  <c:v>121600</c:v>
                </c:pt>
                <c:pt idx="2">
                  <c:v>123820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C-4C1D-9A65-4CF24BB3E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97161696"/>
        <c:axId val="497169856"/>
      </c:barChart>
      <c:catAx>
        <c:axId val="4971616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9856"/>
        <c:crosses val="autoZero"/>
        <c:auto val="1"/>
        <c:lblAlgn val="ctr"/>
        <c:lblOffset val="100"/>
        <c:noMultiLvlLbl val="0"/>
      </c:catAx>
      <c:valAx>
        <c:axId val="497169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161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12" Type="http://schemas.openxmlformats.org/officeDocument/2006/relationships/image" Target="../media/image8.sv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7.png"/><Relationship Id="rId5" Type="http://schemas.openxmlformats.org/officeDocument/2006/relationships/image" Target="../media/image5.png"/><Relationship Id="rId10" Type="http://schemas.openxmlformats.org/officeDocument/2006/relationships/chart" Target="../charts/chart4.xml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18358</xdr:rowOff>
    </xdr:from>
    <xdr:to>
      <xdr:col>7</xdr:col>
      <xdr:colOff>38100</xdr:colOff>
      <xdr:row>12</xdr:row>
      <xdr:rowOff>141663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6F77C03-3584-0089-DE88-7E7005622D0B}"/>
            </a:ext>
          </a:extLst>
        </xdr:cNvPr>
        <xdr:cNvGrpSpPr/>
      </xdr:nvGrpSpPr>
      <xdr:grpSpPr>
        <a:xfrm>
          <a:off x="2438400" y="1664278"/>
          <a:ext cx="1866900" cy="671945"/>
          <a:chOff x="2385060" y="701040"/>
          <a:chExt cx="1866900" cy="739140"/>
        </a:xfrm>
      </xdr:grpSpPr>
      <xdr:sp macro="" textlink="'data analysis'!A7">
        <xdr:nvSpPr>
          <xdr:cNvPr id="2" name="TextBox 1">
            <a:extLst>
              <a:ext uri="{FF2B5EF4-FFF2-40B4-BE49-F238E27FC236}">
                <a16:creationId xmlns:a16="http://schemas.microsoft.com/office/drawing/2014/main" id="{298D81AF-3522-AE4E-1E11-5B9B0E9C0C11}"/>
              </a:ext>
            </a:extLst>
          </xdr:cNvPr>
          <xdr:cNvSpPr txBox="1"/>
        </xdr:nvSpPr>
        <xdr:spPr>
          <a:xfrm>
            <a:off x="238506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579ED93-EF0A-42B5-9B0D-24E1CFD28BCA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 $426,530 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6" name="Graphic 5" descr="Money with solid fill">
            <a:extLst>
              <a:ext uri="{FF2B5EF4-FFF2-40B4-BE49-F238E27FC236}">
                <a16:creationId xmlns:a16="http://schemas.microsoft.com/office/drawing/2014/main" id="{CAD87EE3-6A2A-DAE4-1F6A-4CBB4C810A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2222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293370</xdr:colOff>
      <xdr:row>9</xdr:row>
      <xdr:rowOff>18358</xdr:rowOff>
    </xdr:from>
    <xdr:to>
      <xdr:col>11</xdr:col>
      <xdr:colOff>331470</xdr:colOff>
      <xdr:row>12</xdr:row>
      <xdr:rowOff>141663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C648A276-A127-552E-5911-9F55C081F05D}"/>
            </a:ext>
          </a:extLst>
        </xdr:cNvPr>
        <xdr:cNvGrpSpPr/>
      </xdr:nvGrpSpPr>
      <xdr:grpSpPr>
        <a:xfrm>
          <a:off x="5170170" y="1664278"/>
          <a:ext cx="1866900" cy="671945"/>
          <a:chOff x="5116830" y="701040"/>
          <a:chExt cx="1866900" cy="739140"/>
        </a:xfrm>
      </xdr:grpSpPr>
      <xdr:sp macro="" textlink="'data analysis'!C7">
        <xdr:nvSpPr>
          <xdr:cNvPr id="3" name="TextBox 2">
            <a:extLst>
              <a:ext uri="{FF2B5EF4-FFF2-40B4-BE49-F238E27FC236}">
                <a16:creationId xmlns:a16="http://schemas.microsoft.com/office/drawing/2014/main" id="{E128FE5D-66DC-2A53-2918-C5B556CBB598}"/>
              </a:ext>
            </a:extLst>
          </xdr:cNvPr>
          <xdr:cNvSpPr txBox="1"/>
        </xdr:nvSpPr>
        <xdr:spPr>
          <a:xfrm>
            <a:off x="511683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AE52DA5-E783-42D2-873D-9F631120CFC5}" type="TxLink">
              <a:rPr lang="en-US" sz="2000" b="1" i="0" u="none" strike="noStrike">
                <a:solidFill>
                  <a:srgbClr val="000000"/>
                </a:solidFill>
                <a:latin typeface="+mj-lt"/>
              </a:rPr>
              <a:pPr algn="r"/>
              <a:t>40</a:t>
            </a:fld>
            <a:endParaRPr lang="en-US" sz="2000" b="1">
              <a:latin typeface="+mj-lt"/>
            </a:endParaRPr>
          </a:p>
        </xdr:txBody>
      </xdr:sp>
      <xdr:pic>
        <xdr:nvPicPr>
          <xdr:cNvPr id="8" name="Graphic 7" descr="Bar chart with solid fill">
            <a:extLst>
              <a:ext uri="{FF2B5EF4-FFF2-40B4-BE49-F238E27FC236}">
                <a16:creationId xmlns:a16="http://schemas.microsoft.com/office/drawing/2014/main" id="{8D3243E3-E0D5-78A8-0AF9-066946EF9B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42560" y="84582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586740</xdr:colOff>
      <xdr:row>9</xdr:row>
      <xdr:rowOff>18358</xdr:rowOff>
    </xdr:from>
    <xdr:to>
      <xdr:col>16</xdr:col>
      <xdr:colOff>15240</xdr:colOff>
      <xdr:row>12</xdr:row>
      <xdr:rowOff>141663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3285620-29D6-1D96-4D9D-BAAF38A9912E}"/>
            </a:ext>
          </a:extLst>
        </xdr:cNvPr>
        <xdr:cNvGrpSpPr/>
      </xdr:nvGrpSpPr>
      <xdr:grpSpPr>
        <a:xfrm>
          <a:off x="7901940" y="1664278"/>
          <a:ext cx="1866900" cy="671945"/>
          <a:chOff x="7848600" y="734638"/>
          <a:chExt cx="1866900" cy="671945"/>
        </a:xfrm>
      </xdr:grpSpPr>
      <xdr:sp macro="" textlink="'data analysis'!E7">
        <xdr:nvSpPr>
          <xdr:cNvPr id="4" name="TextBox 3">
            <a:extLst>
              <a:ext uri="{FF2B5EF4-FFF2-40B4-BE49-F238E27FC236}">
                <a16:creationId xmlns:a16="http://schemas.microsoft.com/office/drawing/2014/main" id="{9CF5D85A-1B58-1E0F-6ECB-D976385F9B60}"/>
              </a:ext>
            </a:extLst>
          </xdr:cNvPr>
          <xdr:cNvSpPr txBox="1"/>
        </xdr:nvSpPr>
        <xdr:spPr>
          <a:xfrm>
            <a:off x="7848600" y="734638"/>
            <a:ext cx="1866900" cy="671945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05C105-A208-49EE-830A-EA84537AE66E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10663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10" name="Graphic 9" descr="Coins with solid fill">
            <a:extLst>
              <a:ext uri="{FF2B5EF4-FFF2-40B4-BE49-F238E27FC236}">
                <a16:creationId xmlns:a16="http://schemas.microsoft.com/office/drawing/2014/main" id="{820BEEF1-CD67-BB33-C74D-0C2F9D4BEF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94766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 editAs="oneCell">
    <xdr:from>
      <xdr:col>1</xdr:col>
      <xdr:colOff>160020</xdr:colOff>
      <xdr:row>25</xdr:row>
      <xdr:rowOff>22860</xdr:rowOff>
    </xdr:from>
    <xdr:to>
      <xdr:col>3</xdr:col>
      <xdr:colOff>510540</xdr:colOff>
      <xdr:row>32</xdr:row>
      <xdr:rowOff>114300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1" name="Date 1">
              <a:extLst>
                <a:ext uri="{FF2B5EF4-FFF2-40B4-BE49-F238E27FC236}">
                  <a16:creationId xmlns:a16="http://schemas.microsoft.com/office/drawing/2014/main" id="{48BEA061-2CC9-40DD-9566-8F872D9BD8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9620" y="4594860"/>
              <a:ext cx="156972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4</xdr:col>
      <xdr:colOff>30480</xdr:colOff>
      <xdr:row>13</xdr:row>
      <xdr:rowOff>144780</xdr:rowOff>
    </xdr:from>
    <xdr:to>
      <xdr:col>11</xdr:col>
      <xdr:colOff>350520</xdr:colOff>
      <xdr:row>28</xdr:row>
      <xdr:rowOff>144780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4815654-BF95-431E-9CD7-EFEB4F4A5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13</xdr:row>
      <xdr:rowOff>144780</xdr:rowOff>
    </xdr:from>
    <xdr:to>
      <xdr:col>16</xdr:col>
      <xdr:colOff>53340</xdr:colOff>
      <xdr:row>28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6A1A43B-B5D6-4312-8078-A26775AC0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38100</xdr:colOff>
      <xdr:row>29</xdr:row>
      <xdr:rowOff>76200</xdr:rowOff>
    </xdr:from>
    <xdr:to>
      <xdr:col>11</xdr:col>
      <xdr:colOff>342900</xdr:colOff>
      <xdr:row>44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C612F3-0F36-4197-8A47-CD0219F78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15240</xdr:colOff>
      <xdr:row>29</xdr:row>
      <xdr:rowOff>91440</xdr:rowOff>
    </xdr:from>
    <xdr:to>
      <xdr:col>16</xdr:col>
      <xdr:colOff>68580</xdr:colOff>
      <xdr:row>44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EC6FF2-97BC-455F-8CC0-C269253454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38100</xdr:colOff>
      <xdr:row>45</xdr:row>
      <xdr:rowOff>114300</xdr:rowOff>
    </xdr:from>
    <xdr:to>
      <xdr:col>16</xdr:col>
      <xdr:colOff>76200</xdr:colOff>
      <xdr:row>52</xdr:row>
      <xdr:rowOff>68580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4D17C806-2F9C-488C-4058-2B82E123FA7C}"/>
            </a:ext>
          </a:extLst>
        </xdr:cNvPr>
        <xdr:cNvSpPr/>
      </xdr:nvSpPr>
      <xdr:spPr>
        <a:xfrm>
          <a:off x="2476500" y="8343900"/>
          <a:ext cx="7353300" cy="1234440"/>
        </a:xfrm>
        <a:prstGeom prst="rect">
          <a:avLst/>
        </a:prstGeom>
        <a:ln w="3175"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n>
              <a:noFill/>
            </a:ln>
          </a:endParaRPr>
        </a:p>
      </xdr:txBody>
    </xdr:sp>
    <xdr:clientData/>
  </xdr:twoCellAnchor>
  <xdr:twoCellAnchor editAs="oneCell">
    <xdr:from>
      <xdr:col>4</xdr:col>
      <xdr:colOff>198120</xdr:colOff>
      <xdr:row>46</xdr:row>
      <xdr:rowOff>106680</xdr:rowOff>
    </xdr:from>
    <xdr:to>
      <xdr:col>5</xdr:col>
      <xdr:colOff>502920</xdr:colOff>
      <xdr:row>51</xdr:row>
      <xdr:rowOff>106680</xdr:rowOff>
    </xdr:to>
    <xdr:pic>
      <xdr:nvPicPr>
        <xdr:cNvPr id="19" name="Graphic 18" descr="Lightbulb and gear with solid fill">
          <a:extLst>
            <a:ext uri="{FF2B5EF4-FFF2-40B4-BE49-F238E27FC236}">
              <a16:creationId xmlns:a16="http://schemas.microsoft.com/office/drawing/2014/main" id="{D94E066D-C47F-3015-75A2-57D38C287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2636520" y="8519160"/>
          <a:ext cx="914400" cy="914400"/>
        </a:xfrm>
        <a:prstGeom prst="rect">
          <a:avLst/>
        </a:prstGeom>
      </xdr:spPr>
    </xdr:pic>
    <xdr:clientData/>
  </xdr:twoCellAnchor>
  <xdr:twoCellAnchor>
    <xdr:from>
      <xdr:col>6</xdr:col>
      <xdr:colOff>30480</xdr:colOff>
      <xdr:row>47</xdr:row>
      <xdr:rowOff>54483</xdr:rowOff>
    </xdr:from>
    <xdr:to>
      <xdr:col>11</xdr:col>
      <xdr:colOff>182880</xdr:colOff>
      <xdr:row>50</xdr:row>
      <xdr:rowOff>151257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768916E5-0F31-43B1-872B-A649CF3220A8}"/>
            </a:ext>
          </a:extLst>
        </xdr:cNvPr>
        <xdr:cNvSpPr txBox="1"/>
      </xdr:nvSpPr>
      <xdr:spPr>
        <a:xfrm>
          <a:off x="3688080" y="8649843"/>
          <a:ext cx="3200400" cy="6454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US" sz="1400" b="1"/>
            <a:t>top</a:t>
          </a:r>
          <a:r>
            <a:rPr lang="en-US" sz="1400" b="1" baseline="0"/>
            <a:t> sales in jan , top region giza 49% , top product laptop and top salers fathy ali</a:t>
          </a:r>
          <a:endParaRPr lang="en-US" sz="1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365760</xdr:colOff>
      <xdr:row>7</xdr:row>
      <xdr:rowOff>53340</xdr:rowOff>
    </xdr:from>
    <xdr:to>
      <xdr:col>22</xdr:col>
      <xdr:colOff>45720</xdr:colOff>
      <xdr:row>13</xdr:row>
      <xdr:rowOff>137160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712F1F2D-AA36-429E-889B-E6B299DD5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76660" y="1333500"/>
              <a:ext cx="333756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9</xdr:col>
      <xdr:colOff>304800</xdr:colOff>
      <xdr:row>1</xdr:row>
      <xdr:rowOff>38100</xdr:rowOff>
    </xdr:from>
    <xdr:to>
      <xdr:col>17</xdr:col>
      <xdr:colOff>0</xdr:colOff>
      <xdr:row>16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5959A1-3B9A-CB8F-1D33-63BFD6A5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129540</xdr:rowOff>
    </xdr:from>
    <xdr:to>
      <xdr:col>6</xdr:col>
      <xdr:colOff>220980</xdr:colOff>
      <xdr:row>27</xdr:row>
      <xdr:rowOff>129540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128143-2187-D852-FA66-B54168034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411480</xdr:colOff>
      <xdr:row>7</xdr:row>
      <xdr:rowOff>60960</xdr:rowOff>
    </xdr:from>
    <xdr:to>
      <xdr:col>16</xdr:col>
      <xdr:colOff>152400</xdr:colOff>
      <xdr:row>22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ADD22A-C8F5-BBAA-D014-FD7AE6C57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83820</xdr:colOff>
      <xdr:row>22</xdr:row>
      <xdr:rowOff>30480</xdr:rowOff>
    </xdr:from>
    <xdr:to>
      <xdr:col>10</xdr:col>
      <xdr:colOff>350520</xdr:colOff>
      <xdr:row>37</xdr:row>
      <xdr:rowOff>30480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49F7B4A-9521-5BE4-7582-2081B0F71C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10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  <fieldGroup par="9"/>
    </cacheField>
    <cacheField name="Salesman" numFmtId="0">
      <sharedItems count="6">
        <s v="Ahmed Said"/>
        <s v="Ali Ramadan"/>
        <s v="Ashraf Zaki"/>
        <s v="Fathy Ali"/>
        <s v="Tamer Mohamed"/>
        <s v="Khaled Hassan"/>
      </sharedItems>
    </cacheField>
    <cacheField name="Region" numFmtId="0">
      <sharedItems count="4">
        <s v="Cairo"/>
        <s v="Domietta"/>
        <s v="Giza"/>
        <s v="Alexandria"/>
      </sharedItems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  <cacheField name="Days (Date)" numFmtId="0" databaseField="0">
      <fieldGroup base="1">
        <rangePr groupBy="days" startDate="2023-01-01T00:00:00" endDate="2023-02-1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10/2023"/>
        </groupItems>
      </fieldGroup>
    </cacheField>
    <cacheField name="Months (Date)" numFmtId="0" databaseField="0">
      <fieldGroup base="1">
        <rangePr groupBy="months" startDate="2023-01-01T00:00:00" endDate="2023-02-1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0/2023"/>
        </groupItems>
      </fieldGroup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x v="0"/>
    <x v="0"/>
    <x v="0"/>
    <n v="5"/>
    <n v="210"/>
    <x v="0"/>
  </r>
  <r>
    <n v="2"/>
    <x v="1"/>
    <x v="1"/>
    <x v="1"/>
    <x v="1"/>
    <n v="3"/>
    <n v="1500"/>
    <x v="1"/>
  </r>
  <r>
    <n v="3"/>
    <x v="2"/>
    <x v="2"/>
    <x v="0"/>
    <x v="2"/>
    <n v="7"/>
    <n v="2100"/>
    <x v="2"/>
  </r>
  <r>
    <n v="4"/>
    <x v="3"/>
    <x v="3"/>
    <x v="0"/>
    <x v="0"/>
    <n v="2"/>
    <n v="210"/>
    <x v="3"/>
  </r>
  <r>
    <n v="5"/>
    <x v="4"/>
    <x v="4"/>
    <x v="1"/>
    <x v="1"/>
    <n v="1"/>
    <n v="1500"/>
    <x v="4"/>
  </r>
  <r>
    <n v="6"/>
    <x v="5"/>
    <x v="5"/>
    <x v="1"/>
    <x v="3"/>
    <n v="4"/>
    <n v="8500"/>
    <x v="5"/>
  </r>
  <r>
    <n v="7"/>
    <x v="6"/>
    <x v="0"/>
    <x v="2"/>
    <x v="4"/>
    <n v="1"/>
    <n v="300"/>
    <x v="6"/>
  </r>
  <r>
    <n v="8"/>
    <x v="7"/>
    <x v="1"/>
    <x v="1"/>
    <x v="3"/>
    <n v="6"/>
    <n v="8500"/>
    <x v="7"/>
  </r>
  <r>
    <n v="9"/>
    <x v="8"/>
    <x v="2"/>
    <x v="3"/>
    <x v="5"/>
    <n v="4"/>
    <n v="1200"/>
    <x v="8"/>
  </r>
  <r>
    <n v="10"/>
    <x v="9"/>
    <x v="3"/>
    <x v="3"/>
    <x v="2"/>
    <n v="2"/>
    <n v="2100"/>
    <x v="9"/>
  </r>
  <r>
    <n v="11"/>
    <x v="10"/>
    <x v="4"/>
    <x v="2"/>
    <x v="2"/>
    <n v="6"/>
    <n v="2100"/>
    <x v="10"/>
  </r>
  <r>
    <n v="12"/>
    <x v="11"/>
    <x v="5"/>
    <x v="3"/>
    <x v="4"/>
    <n v="1"/>
    <n v="300"/>
    <x v="6"/>
  </r>
  <r>
    <n v="13"/>
    <x v="12"/>
    <x v="0"/>
    <x v="2"/>
    <x v="2"/>
    <n v="7"/>
    <n v="2100"/>
    <x v="2"/>
  </r>
  <r>
    <n v="14"/>
    <x v="13"/>
    <x v="1"/>
    <x v="0"/>
    <x v="4"/>
    <n v="6"/>
    <n v="300"/>
    <x v="11"/>
  </r>
  <r>
    <n v="15"/>
    <x v="14"/>
    <x v="2"/>
    <x v="1"/>
    <x v="2"/>
    <n v="1"/>
    <n v="2100"/>
    <x v="12"/>
  </r>
  <r>
    <n v="16"/>
    <x v="15"/>
    <x v="3"/>
    <x v="1"/>
    <x v="4"/>
    <n v="2"/>
    <n v="300"/>
    <x v="13"/>
  </r>
  <r>
    <n v="17"/>
    <x v="16"/>
    <x v="4"/>
    <x v="1"/>
    <x v="2"/>
    <n v="7"/>
    <n v="2100"/>
    <x v="2"/>
  </r>
  <r>
    <n v="18"/>
    <x v="17"/>
    <x v="5"/>
    <x v="3"/>
    <x v="6"/>
    <n v="6"/>
    <n v="450"/>
    <x v="14"/>
  </r>
  <r>
    <n v="19"/>
    <x v="18"/>
    <x v="0"/>
    <x v="1"/>
    <x v="7"/>
    <n v="6"/>
    <n v="190"/>
    <x v="15"/>
  </r>
  <r>
    <n v="20"/>
    <x v="19"/>
    <x v="1"/>
    <x v="1"/>
    <x v="4"/>
    <n v="2"/>
    <n v="300"/>
    <x v="13"/>
  </r>
  <r>
    <n v="21"/>
    <x v="20"/>
    <x v="2"/>
    <x v="1"/>
    <x v="1"/>
    <n v="3"/>
    <n v="1500"/>
    <x v="1"/>
  </r>
  <r>
    <n v="22"/>
    <x v="21"/>
    <x v="3"/>
    <x v="2"/>
    <x v="3"/>
    <n v="5"/>
    <n v="8500"/>
    <x v="16"/>
  </r>
  <r>
    <n v="23"/>
    <x v="22"/>
    <x v="4"/>
    <x v="1"/>
    <x v="7"/>
    <n v="1"/>
    <n v="190"/>
    <x v="17"/>
  </r>
  <r>
    <n v="24"/>
    <x v="23"/>
    <x v="5"/>
    <x v="1"/>
    <x v="0"/>
    <n v="6"/>
    <n v="210"/>
    <x v="18"/>
  </r>
  <r>
    <n v="25"/>
    <x v="24"/>
    <x v="0"/>
    <x v="2"/>
    <x v="4"/>
    <n v="2"/>
    <n v="300"/>
    <x v="13"/>
  </r>
  <r>
    <n v="26"/>
    <x v="25"/>
    <x v="1"/>
    <x v="1"/>
    <x v="7"/>
    <n v="4"/>
    <n v="190"/>
    <x v="19"/>
  </r>
  <r>
    <n v="27"/>
    <x v="26"/>
    <x v="2"/>
    <x v="2"/>
    <x v="3"/>
    <n v="8"/>
    <n v="8500"/>
    <x v="20"/>
  </r>
  <r>
    <n v="28"/>
    <x v="27"/>
    <x v="3"/>
    <x v="1"/>
    <x v="4"/>
    <n v="3"/>
    <n v="300"/>
    <x v="21"/>
  </r>
  <r>
    <n v="29"/>
    <x v="28"/>
    <x v="4"/>
    <x v="1"/>
    <x v="4"/>
    <n v="7"/>
    <n v="300"/>
    <x v="12"/>
  </r>
  <r>
    <n v="30"/>
    <x v="29"/>
    <x v="5"/>
    <x v="2"/>
    <x v="7"/>
    <n v="4"/>
    <n v="190"/>
    <x v="19"/>
  </r>
  <r>
    <n v="31"/>
    <x v="30"/>
    <x v="0"/>
    <x v="1"/>
    <x v="6"/>
    <n v="2"/>
    <n v="450"/>
    <x v="21"/>
  </r>
  <r>
    <n v="32"/>
    <x v="31"/>
    <x v="1"/>
    <x v="0"/>
    <x v="2"/>
    <n v="3"/>
    <n v="2100"/>
    <x v="22"/>
  </r>
  <r>
    <n v="33"/>
    <x v="32"/>
    <x v="2"/>
    <x v="1"/>
    <x v="3"/>
    <n v="2"/>
    <n v="8500"/>
    <x v="23"/>
  </r>
  <r>
    <n v="34"/>
    <x v="33"/>
    <x v="3"/>
    <x v="2"/>
    <x v="3"/>
    <n v="8"/>
    <n v="8500"/>
    <x v="20"/>
  </r>
  <r>
    <n v="35"/>
    <x v="34"/>
    <x v="4"/>
    <x v="3"/>
    <x v="0"/>
    <n v="2"/>
    <n v="210"/>
    <x v="3"/>
  </r>
  <r>
    <n v="36"/>
    <x v="35"/>
    <x v="5"/>
    <x v="3"/>
    <x v="7"/>
    <n v="2"/>
    <n v="190"/>
    <x v="24"/>
  </r>
  <r>
    <n v="37"/>
    <x v="36"/>
    <x v="0"/>
    <x v="3"/>
    <x v="3"/>
    <n v="3"/>
    <n v="8500"/>
    <x v="25"/>
  </r>
  <r>
    <n v="38"/>
    <x v="37"/>
    <x v="1"/>
    <x v="2"/>
    <x v="0"/>
    <n v="5"/>
    <n v="210"/>
    <x v="0"/>
  </r>
  <r>
    <n v="39"/>
    <x v="38"/>
    <x v="2"/>
    <x v="1"/>
    <x v="2"/>
    <n v="5"/>
    <n v="2100"/>
    <x v="26"/>
  </r>
  <r>
    <n v="40"/>
    <x v="39"/>
    <x v="3"/>
    <x v="1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24B9DB-16A8-46B5-A956-2588C79515CB}" name="PivotTable7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H35:I39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axis="axisRow" showAll="0" measureFilter="1" sortType="ascending">
      <items count="7">
        <item x="0"/>
        <item x="1"/>
        <item x="2"/>
        <item x="3"/>
        <item x="5"/>
        <item x="4"/>
        <item t="default"/>
      </items>
    </pivotField>
    <pivotField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2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147">
      <pivotArea outline="0" collapsedLevelsAreSubtotals="1" fieldPosition="0"/>
    </format>
  </format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8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2" type="count" evalOrder="-1" id="318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377406-EF9D-40FA-8C1C-85593D1E9337}" name="PivotTable4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L21:M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>
      <items count="5">
        <item x="3"/>
        <item x="0"/>
        <item x="1"/>
        <item x="2"/>
        <item t="default"/>
      </items>
    </pivotField>
    <pivotField axis="axisRow" showAll="0" measureFilter="1" sortType="descending">
      <items count="9">
        <item x="6"/>
        <item x="7"/>
        <item x="3"/>
        <item x="5"/>
        <item x="0"/>
        <item x="2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4">
    <i>
      <x v="2"/>
    </i>
    <i>
      <x v="5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148">
      <pivotArea outline="0" collapsedLevelsAreSubtotals="1" fieldPosition="0"/>
    </format>
  </format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479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4" type="count" evalOrder="-1" id="26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CBE86-DE74-4357-B405-7E7C9F6C13A1}" name="PivotTable5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>
  <location ref="H5:I8" firstHeaderRow="1" firstDataRow="1" firstDataCol="1"/>
  <pivotFields count="10">
    <pivotField showAll="0"/>
    <pivotField axis="axisRow"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1"/>
  </rowFields>
  <rowItems count="3">
    <i>
      <x v="1"/>
    </i>
    <i>
      <x v="2"/>
    </i>
    <i t="grand">
      <x/>
    </i>
  </rowItems>
  <colItems count="1">
    <i/>
  </colItems>
  <dataFields count="1">
    <dataField name="Sum of Amount" fld="7" baseField="0" baseItem="0"/>
  </dataFields>
  <formats count="1">
    <format dxfId="153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154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155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156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47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387BD-8EFF-428C-8AAB-833B9D93326E}" name="PivotTable6" cacheId="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H20:I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157">
      <pivotArea outline="0" collapsedLevelsAreSubtotals="1" fieldPosition="0"/>
    </format>
  </formats>
  <chartFormats count="1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47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152"/>
    <tableColumn id="3" xr3:uid="{5C50CE82-4D1A-4C79-9D0F-247FE1CDFA5C}" uniqueName="3" name="Salesman" queryTableFieldId="3" dataDxfId="151"/>
    <tableColumn id="4" xr3:uid="{C594ECD2-D104-43F4-A766-C80694137000}" uniqueName="4" name="Region" queryTableFieldId="4" dataDxfId="150"/>
    <tableColumn id="5" xr3:uid="{4EBFE9AF-2CF8-4086-910A-E4FE148003F0}" uniqueName="5" name="Item" queryTableFieldId="5" dataDxfId="149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1A08CDD6-FD3D-453E-AB64-7E0795993188}" sourceName="Date">
  <pivotTables>
    <pivotTable tabId="3" name="PivotTable2"/>
    <pivotTable tabId="3" name="PivotTable1"/>
    <pivotTable tabId="3" name="PivotTable3"/>
    <pivotTable tabId="3" name="PivotTable5"/>
    <pivotTable tabId="3" name="PivotTable6"/>
    <pivotTable tabId="3" name="PivotTable4"/>
    <pivotTable tabId="3" name="PivotTable7"/>
  </pivotTables>
  <state minimalRefreshVersion="6" lastRefreshVersion="6" pivotCacheId="548194542" filterType="dateBetween">
    <selection startDate="2023-01-01T00:00:00" endDate="2023-02-28T00:00:00"/>
    <bounds startDate="2023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4BAC2FE9-C0D7-4F7A-AA2C-A32B2D77E7A4}" cache="NativeTimeline_Date" caption="Date" level="2" selectionLevel="2" scrollPosition="2023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BE855AF-BCA8-4844-9C58-AD1748EA83F3}" cache="NativeTimeline_Date" caption="Date" showHorizontalScrollbar="0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2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showGridLines="0" tabSelected="1" topLeftCell="A9" workbookViewId="0">
      <selection activeCell="T19" sqref="T19"/>
    </sheetView>
  </sheetViews>
  <sheetFormatPr defaultRowHeight="14.4" x14ac:dyDescent="0.3"/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M39"/>
  <sheetViews>
    <sheetView topLeftCell="A17" workbookViewId="0">
      <selection activeCell="B46" sqref="B46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10.33203125" bestFit="1" customWidth="1"/>
    <col min="5" max="5" width="10.109375" bestFit="1" customWidth="1"/>
    <col min="8" max="8" width="12.44140625" bestFit="1" customWidth="1"/>
    <col min="9" max="9" width="13.5546875" bestFit="1" customWidth="1"/>
    <col min="12" max="12" width="12.44140625" bestFit="1" customWidth="1"/>
    <col min="13" max="13" width="13.5546875" bestFit="1" customWidth="1"/>
  </cols>
  <sheetData>
    <row r="2" spans="1:9" x14ac:dyDescent="0.3">
      <c r="A2" s="9" t="s">
        <v>32</v>
      </c>
      <c r="B2" s="9"/>
      <c r="C2" s="9"/>
      <c r="D2" s="9"/>
      <c r="E2" s="9"/>
    </row>
    <row r="5" spans="1:9" x14ac:dyDescent="0.3">
      <c r="A5" t="s">
        <v>29</v>
      </c>
      <c r="C5" t="s">
        <v>30</v>
      </c>
      <c r="E5" t="s">
        <v>31</v>
      </c>
      <c r="H5" s="4" t="s">
        <v>26</v>
      </c>
      <c r="I5" t="s">
        <v>28</v>
      </c>
    </row>
    <row r="6" spans="1:9" x14ac:dyDescent="0.3">
      <c r="A6" s="6">
        <v>426530</v>
      </c>
      <c r="C6" s="6">
        <v>40</v>
      </c>
      <c r="E6" s="6">
        <v>10663.25</v>
      </c>
      <c r="H6" s="5" t="s">
        <v>33</v>
      </c>
      <c r="I6" s="6">
        <v>290180</v>
      </c>
    </row>
    <row r="7" spans="1:9" x14ac:dyDescent="0.3">
      <c r="A7" s="7">
        <f>GETPIVOTDATA("Amount",$A$5)</f>
        <v>426530</v>
      </c>
      <c r="C7">
        <f>GETPIVOTDATA("Item",$C$5)</f>
        <v>40</v>
      </c>
      <c r="E7" s="8">
        <f>GETPIVOTDATA("Amount",$E$5)</f>
        <v>10663.25</v>
      </c>
      <c r="H7" s="5" t="s">
        <v>34</v>
      </c>
      <c r="I7" s="6">
        <v>136350</v>
      </c>
    </row>
    <row r="8" spans="1:9" x14ac:dyDescent="0.3">
      <c r="H8" s="5" t="s">
        <v>27</v>
      </c>
      <c r="I8" s="6">
        <v>426530</v>
      </c>
    </row>
    <row r="20" spans="8:13" x14ac:dyDescent="0.3">
      <c r="H20" s="4" t="s">
        <v>26</v>
      </c>
      <c r="I20" t="s">
        <v>28</v>
      </c>
    </row>
    <row r="21" spans="8:13" x14ac:dyDescent="0.3">
      <c r="H21" s="5" t="s">
        <v>22</v>
      </c>
      <c r="I21" s="6">
        <v>38300</v>
      </c>
      <c r="L21" s="4" t="s">
        <v>26</v>
      </c>
      <c r="M21" t="s">
        <v>28</v>
      </c>
    </row>
    <row r="22" spans="8:13" x14ac:dyDescent="0.3">
      <c r="H22" s="5" t="s">
        <v>9</v>
      </c>
      <c r="I22" s="6">
        <v>24270</v>
      </c>
      <c r="L22" s="5" t="s">
        <v>19</v>
      </c>
      <c r="M22" s="6">
        <v>306000</v>
      </c>
    </row>
    <row r="23" spans="8:13" x14ac:dyDescent="0.3">
      <c r="H23" s="5" t="s">
        <v>12</v>
      </c>
      <c r="I23" s="6">
        <v>155450</v>
      </c>
      <c r="L23" s="5" t="s">
        <v>15</v>
      </c>
      <c r="M23" s="6">
        <v>79800</v>
      </c>
    </row>
    <row r="24" spans="8:13" x14ac:dyDescent="0.3">
      <c r="H24" s="5" t="s">
        <v>20</v>
      </c>
      <c r="I24" s="6">
        <v>208510</v>
      </c>
      <c r="L24" s="5" t="s">
        <v>23</v>
      </c>
      <c r="M24" s="6">
        <v>12000</v>
      </c>
    </row>
    <row r="25" spans="8:13" x14ac:dyDescent="0.3">
      <c r="H25" s="5" t="s">
        <v>27</v>
      </c>
      <c r="I25" s="6">
        <v>426530</v>
      </c>
      <c r="L25" s="5" t="s">
        <v>27</v>
      </c>
      <c r="M25" s="6">
        <v>397800</v>
      </c>
    </row>
    <row r="35" spans="8:9" x14ac:dyDescent="0.3">
      <c r="H35" s="4" t="s">
        <v>26</v>
      </c>
      <c r="I35" t="s">
        <v>28</v>
      </c>
    </row>
    <row r="36" spans="8:9" x14ac:dyDescent="0.3">
      <c r="H36" s="5" t="s">
        <v>11</v>
      </c>
      <c r="I36" s="6">
        <v>66010</v>
      </c>
    </row>
    <row r="37" spans="8:9" x14ac:dyDescent="0.3">
      <c r="H37" s="5" t="s">
        <v>14</v>
      </c>
      <c r="I37" s="6">
        <v>121600</v>
      </c>
    </row>
    <row r="38" spans="8:9" x14ac:dyDescent="0.3">
      <c r="H38" s="5" t="s">
        <v>16</v>
      </c>
      <c r="I38" s="6">
        <v>123820</v>
      </c>
    </row>
    <row r="39" spans="8:9" x14ac:dyDescent="0.3">
      <c r="H39" s="5" t="s">
        <v>27</v>
      </c>
      <c r="I39" s="6">
        <v>311430</v>
      </c>
    </row>
  </sheetData>
  <mergeCells count="1">
    <mergeCell ref="A2:E2"/>
  </mergeCells>
  <pageMargins left="0.7" right="0.7" top="0.75" bottom="0.75" header="0.3" footer="0.3"/>
  <drawing r:id="rId8"/>
  <extLst>
    <ext xmlns:x15="http://schemas.microsoft.com/office/spreadsheetml/2010/11/main" uri="{7E03D99C-DC04-49d9-9315-930204A7B6E9}">
      <x15:timelineRefs>
        <x15:timelineRef r:id="rId9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2026-10-15T21:23:29Z</dcterms:modified>
</cp:coreProperties>
</file>