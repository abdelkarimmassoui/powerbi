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0DA19C59-1229-48E1-BB54-3D4A9DA82CF9}"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<sst xmlns="http://schemas.openxmlformats.org/spreadsheetml/2006/main" count="284" uniqueCount="35">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</sst>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39">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FFD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sales</a:t>
            </a:r>
            <a:r>
              <a:rPr lang="en-US" b="1" baseline="0">
                <a:solidFill>
                  <a:schemeClr val="accent1">
                    <a:lumMod val="10000"/>
                  </a:schemeClr>
                </a:solidFill>
              </a:rPr>
              <a:t> by months</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marker val="1"/>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19050" cap="flat" cmpd="sng" algn="ctr">
            <a:solidFill>
              <a:schemeClr val="tx1">
                <a:lumMod val="95000"/>
                <a:lumOff val="5000"/>
              </a:schemeClr>
            </a:solidFill>
            <a:prstDash val="dash"/>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min val="1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amount</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chemeClr val="accent1"/>
          </a:solidFill>
          <a:ln w="19050">
            <a:solidFill>
              <a:schemeClr val="lt1"/>
            </a:solidFill>
          </a:ln>
          <a:effectLst/>
        </c:spPr>
        <c:dLbl>
          <c:idx val="0"/>
          <c:layout>
            <c:manualLayout>
              <c:x val="4.0774719673802244E-2"/>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8"/>
        <c:spPr>
          <a:solidFill>
            <a:schemeClr val="accent1"/>
          </a:solidFill>
          <a:ln w="19050">
            <a:solidFill>
              <a:schemeClr val="lt1"/>
            </a:solidFill>
          </a:ln>
          <a:effectLst/>
        </c:spPr>
        <c:dLbl>
          <c:idx val="0"/>
          <c:layout>
            <c:manualLayout>
              <c:x val="0.1274209989806319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9"/>
        <c:spPr>
          <a:solidFill>
            <a:schemeClr val="accent1"/>
          </a:solidFill>
          <a:ln w="19050">
            <a:solidFill>
              <a:schemeClr val="lt1"/>
            </a:solid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B7E78C7C-7642-49BB-A231-FA80D04A8E7A}" type="CELLRANGE">
                  <a:rPr lang="en-US" baseline="0"/>
                  <a:pPr>
                    <a:defRPr/>
                  </a:pPr>
                  <a:t>[CELLRANGE]</a:t>
                </a:fld>
                <a:r>
                  <a:rPr lang="en-US" baseline="0"/>
                  <a:t>, </a:t>
                </a:r>
                <a:fld id="{8E3BE822-79BF-4A4F-AD9F-01FFAC3F2027}"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chemeClr val="accent1"/>
          </a:solidFill>
          <a:ln w="19050">
            <a:solidFill>
              <a:schemeClr val="lt1"/>
            </a:solidFill>
          </a:ln>
          <a:effectLst/>
        </c:spPr>
        <c:dLbl>
          <c:idx val="0"/>
          <c:layout>
            <c:manualLayout>
              <c:x val="-9.1743119266055051E-2"/>
              <c:y val="9.7222222222222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6F-40FB-A8D7-950581BCD9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6F-40FB-A8D7-950581BCD9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6F-40FB-A8D7-950581BCD9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6F-40FB-A8D7-950581BCD903}"/>
              </c:ext>
            </c:extLst>
          </c:dPt>
          <c:dLbls>
            <c:dLbl>
              <c:idx val="0"/>
              <c:layout>
                <c:manualLayout>
                  <c:x val="8.1549439347604488E-2"/>
                  <c:y val="0.12037037037037028"/>
                </c:manualLayout>
              </c:layout>
              <c:tx>
                <c:rich>
                  <a:bodyPr/>
                  <a:lstStyle/>
                  <a:p>
                    <a:fld id="{B7E78C7C-7642-49BB-A231-FA80D04A8E7A}" type="CELLRANGE">
                      <a:rPr lang="en-US" baseline="0"/>
                      <a:pPr/>
                      <a:t>[CELLRANGE]</a:t>
                    </a:fld>
                    <a:r>
                      <a:rPr lang="en-US" baseline="0"/>
                      <a:t>, </a:t>
                    </a:r>
                    <a:fld id="{8E3BE822-79BF-4A4F-AD9F-01FFAC3F2027}"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1"/>
                <c:pt idx="0">
                  <c:v>Domietta</c:v>
                </c:pt>
              </c:strCache>
            </c:strRef>
          </c:cat>
          <c:val>
            <c:numRef>
              <c:f>'data analysis'!$H$21:$H$24</c:f>
              <c:numCache>
                <c:formatCode>General</c:formatCode>
                <c:ptCount val="1"/>
                <c:pt idx="0">
                  <c:v>155450</c:v>
                </c:pt>
              </c:numCache>
            </c:numRef>
          </c:val>
          <c:extLst>
            <c:ext xmlns:c15="http://schemas.microsoft.com/office/drawing/2012/chart" uri="{02D57815-91ED-43cb-92C2-25804820EDAC}">
              <c15:datalabelsRange>
                <c15:f>'data analysis'!$H$21:$H$24</c15:f>
                <c15:dlblRangeCache>
                  <c:ptCount val="4"/>
                  <c:pt idx="0">
                    <c:v>Domietta</c:v>
                  </c:pt>
                  <c:pt idx="1">
                    <c:v>Grand Total</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analysis'!$H$21:$H$22</c:f>
              <c:strCache>
                <c:ptCount val="1"/>
                <c:pt idx="0">
                  <c:v>Domietta</c:v>
                </c:pt>
              </c:strCache>
            </c:strRef>
          </c:cat>
          <c:val>
            <c:numRef>
              <c:f>'data analysis'!$I$21:$I$22</c:f>
              <c:numCache>
                <c:formatCode>General</c:formatCode>
                <c:ptCount val="1"/>
                <c:pt idx="0">
                  <c:v>155450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$155,450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19</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8182</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3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33">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34">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35">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6"/>
    </i>
    <i t="grand">
      <x/>
    </i>
  </rowItems>
  <colItems count="1">
    <i/>
  </colItems>
  <dataFields count="1">
    <dataField name="Sum of Amount" fld="7" baseField="0" baseItem="0"/>
  </dataFields>
  <formats count="1">
    <format dxfId="36">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37">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2">
    <i>
      <x v="2"/>
    </i>
    <i t="grand">
      <x/>
    </i>
  </rowItems>
  <colItems count="1">
    <i/>
  </colItems>
  <dataFields count="1">
    <dataField name="Sum of Amount" fld="7" baseField="0" baseItem="0"/>
  </dataFields>
  <formats count="1">
    <format dxfId="38">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1"/>
    <tableColumn id="3" xr3:uid="{5C50CE82-4D1A-4C79-9D0F-247FE1CDFA5C}" uniqueName="3" name="Salesman" queryTableFieldId="3" dataDxfId="30"/>
    <tableColumn id="4" xr3:uid="{C594ECD2-D104-43F4-A766-C80694137000}" uniqueName="4" name="Region" queryTableFieldId="4" dataDxfId="29"/>
    <tableColumn id="5" xr3:uid="{4EBFE9AF-2CF8-4086-910A-E4FE148003F0}" uniqueName="5" name="Item" queryTableFieldId="5" dataDxfId="28"/>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topLeftCell="A3" workbookViewId="0">
      <selection activeCell="U17" sqref="U1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4.554687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155450</v>
      </c>
      <c r="C6" s="6">
        <v>19</v>
      </c>
      <c r="E6" s="6">
        <v>8181.5789473684208</v>
      </c>
      <c r="H6" s="5" t="s">
        <v>33</v>
      </c>
      <c r="I6" s="6">
        <v>120750</v>
      </c>
    </row>
    <row r="7" spans="1:9" x14ac:dyDescent="0.3">
      <c r="A7" s="7">
        <f>GETPIVOTDATA("Amount",$A$5)</f>
        <v>155450</v>
      </c>
      <c r="C7">
        <f>GETPIVOTDATA("Item",$C$5)</f>
        <v>19</v>
      </c>
      <c r="E7" s="8">
        <f>GETPIVOTDATA("Amount",$E$5)</f>
        <v>8181.5789473684208</v>
      </c>
      <c r="H7" s="5" t="s">
        <v>34</v>
      </c>
      <c r="I7" s="6">
        <v>34700</v>
      </c>
    </row>
    <row r="8" spans="1:9" x14ac:dyDescent="0.3">
      <c r="H8" s="5" t="s">
        <v>27</v>
      </c>
      <c r="I8" s="6">
        <v>155450</v>
      </c>
    </row>
    <row r="20" spans="8:13" x14ac:dyDescent="0.3">
      <c r="H20" s="4" t="s">
        <v>26</v>
      </c>
      <c r="I20" t="s">
        <v>28</v>
      </c>
    </row>
    <row r="21" spans="8:13" x14ac:dyDescent="0.3">
      <c r="H21" s="5" t="s">
        <v>12</v>
      </c>
      <c r="I21" s="6">
        <v>155450</v>
      </c>
      <c r="L21" s="4" t="s">
        <v>26</v>
      </c>
      <c r="M21" t="s">
        <v>28</v>
      </c>
    </row>
    <row r="22" spans="8:13" x14ac:dyDescent="0.3">
      <c r="H22" s="5" t="s">
        <v>27</v>
      </c>
      <c r="I22" s="6">
        <v>155450</v>
      </c>
      <c r="L22" s="5" t="s">
        <v>19</v>
      </c>
      <c r="M22" s="6">
        <v>102000</v>
      </c>
    </row>
    <row r="23" spans="8:13" x14ac:dyDescent="0.3">
      <c r="L23" s="5" t="s">
        <v>15</v>
      </c>
      <c r="M23" s="6">
        <v>27300</v>
      </c>
    </row>
    <row r="24" spans="8:13" x14ac:dyDescent="0.3">
      <c r="L24" s="5" t="s">
        <v>13</v>
      </c>
      <c r="M24" s="6">
        <v>10500</v>
      </c>
    </row>
    <row r="25" spans="8:13" x14ac:dyDescent="0.3">
      <c r="L25" s="5" t="s">
        <v>27</v>
      </c>
      <c r="M25" s="6">
        <v>139800</v>
      </c>
    </row>
    <row r="35" spans="8:9" x14ac:dyDescent="0.3">
      <c r="H35" s="4" t="s">
        <v>26</v>
      </c>
      <c r="I35" t="s">
        <v>28</v>
      </c>
    </row>
    <row r="36" spans="8:9" x14ac:dyDescent="0.3">
      <c r="H36" s="5" t="s">
        <v>8</v>
      </c>
      <c r="I36" s="6">
        <v>2040</v>
      </c>
    </row>
    <row r="37" spans="8:9" x14ac:dyDescent="0.3">
      <c r="H37" s="5" t="s">
        <v>11</v>
      </c>
      <c r="I37" s="6">
        <v>56860</v>
      </c>
    </row>
    <row r="38" spans="8:9" x14ac:dyDescent="0.3">
      <c r="H38" s="5" t="s">
        <v>14</v>
      </c>
      <c r="I38" s="6">
        <v>34100</v>
      </c>
    </row>
    <row r="39" spans="8:9" x14ac:dyDescent="0.3">
      <c r="H39" s="5" t="s">
        <v>16</v>
      </c>
      <c r="I39" s="6">
        <v>8700</v>
      </c>
    </row>
    <row r="40" spans="8:9" x14ac:dyDescent="0.3">
      <c r="H40" s="5" t="s">
        <v>18</v>
      </c>
      <c r="I40" s="6">
        <v>35260</v>
      </c>
    </row>
    <row r="41" spans="8:9" x14ac:dyDescent="0.3">
      <c r="H41" s="5" t="s">
        <v>17</v>
      </c>
      <c r="I41" s="6">
        <v>18490</v>
      </c>
    </row>
    <row r="42" spans="8:9" x14ac:dyDescent="0.3">
      <c r="H42" s="5" t="s">
        <v>27</v>
      </c>
      <c r="I42" s="6">
        <v>155450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2026-10-18T22:27:33Z</dcterms:modified>
</cp:coreProperties>
</file>