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26D7C777-E6C9-4753-BB22-FC455F0ADDB6}"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A7" i="3"/>
  <c r="E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<sst xmlns="http://schemas.openxmlformats.org/spreadsheetml/2006/main" count="287" uniqueCount="35">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</sst>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25">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colors>
    <mruColors>
      <color rgb="FFFFDC6D"/>
      <color rgb="FF8A6900"/>
      <color rgb="FFEEB500"/>
      <color rgb="FFFFECAF"/>
      <color rgb="FFFFDD7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sales</a:t>
            </a:r>
            <a:r>
              <a:rPr lang="en-US" b="1" baseline="0">
                <a:solidFill>
                  <a:schemeClr val="accent1">
                    <a:lumMod val="10000"/>
                  </a:schemeClr>
                </a:solidFill>
              </a:rPr>
              <a:t> by months</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cat>
            <c:strRef>
              <c:f>'data analysis'!$H$6:$H$8</c:f>
              <c:strCache>
                <c:ptCount val="2"/>
                <c:pt idx="0">
                  <c:v>Jan</c:v>
                </c:pt>
                <c:pt idx="1">
                  <c:v>Feb</c:v>
                </c:pt>
              </c:strCache>
            </c:strRef>
          </c:cat>
          <c:val>
            <c:numRef>
              <c:f>'data analysis'!$I$6:$I$8</c:f>
              <c:numCache>
                <c:formatCode>General</c:formatCode>
                <c:ptCount val="2"/>
                <c:pt idx="0">
                  <c:v>290180</c:v>
                </c:pt>
                <c:pt idx="1">
                  <c:v>136350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marker val="1"/>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19050" cap="flat" cmpd="sng" algn="ctr">
            <a:solidFill>
              <a:schemeClr val="tx1">
                <a:lumMod val="95000"/>
                <a:lumOff val="5000"/>
              </a:schemeClr>
            </a:solidFill>
            <a:prstDash val="dash"/>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min val="1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amount</a:t>
            </a:r>
            <a:r>
              <a:rPr lang="en-US" b="1" baseline="0">
                <a:solidFill>
                  <a:schemeClr val="accent1">
                    <a:lumMod val="10000"/>
                  </a:schemeClr>
                </a:solidFill>
              </a:rPr>
              <a:t> by region</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rgbClr val="FFDC6D"/>
          </a:solidFill>
          <a:ln w="19050">
            <a:noFill/>
          </a:ln>
          <a:effectLst/>
        </c:spPr>
        <c:dLbl>
          <c:idx val="0"/>
          <c:layout>
            <c:manualLayout>
              <c:x val="4.0774719673802244E-2"/>
              <c:y val="-9.722222222222223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BCEFE3A1-5279-439B-9D5C-5592E783B872}" type="CELLRANGE">
                  <a:rPr lang="en-US"/>
                  <a:pPr>
                    <a:defRPr b="1">
                      <a:solidFill>
                        <a:schemeClr val="accent1">
                          <a:lumMod val="10000"/>
                        </a:schemeClr>
                      </a:solidFill>
                    </a:defRPr>
                  </a:pPr>
                  <a:t>[CELLRANGE]</a:t>
                </a:fld>
                <a:r>
                  <a:rPr lang="en-US" baseline="0"/>
                  <a:t>, </a:t>
                </a:r>
                <a:fld id="{BAABADB7-2A00-4493-AEDA-37DF95019FAB}"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8"/>
        <c:spPr>
          <a:solidFill>
            <a:srgbClr val="EEB500"/>
          </a:solidFill>
          <a:ln w="19050">
            <a:noFill/>
          </a:ln>
          <a:effectLst/>
        </c:spPr>
        <c:dLbl>
          <c:idx val="0"/>
          <c:layout>
            <c:manualLayout>
              <c:x val="0.12742099898063192"/>
              <c:y val="-7.870370370370374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2A40DA4D-081C-4A75-AF48-49C192B11051}" type="CELLRANGE">
                  <a:rPr lang="en-US"/>
                  <a:pPr>
                    <a:defRPr b="1">
                      <a:solidFill>
                        <a:schemeClr val="accent1">
                          <a:lumMod val="10000"/>
                        </a:schemeClr>
                      </a:solidFill>
                    </a:defRPr>
                  </a:pPr>
                  <a:t>[CELLRANGE]</a:t>
                </a:fld>
                <a:r>
                  <a:rPr lang="en-US" baseline="0"/>
                  <a:t>, </a:t>
                </a:r>
                <a:fld id="{1A6EE693-C9CB-4490-8154-3CC7F77D7522}"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9"/>
        <c:spPr>
          <a:solidFill>
            <a:srgbClr val="8A6900"/>
          </a:solidFill>
          <a:ln w="19050">
            <a:no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2EFC26A8-C002-4AAC-BD46-0D9C3C635444}" type="CELLRANGE">
                  <a:rPr lang="en-US" baseline="0"/>
                  <a:pPr>
                    <a:defRPr b="1">
                      <a:solidFill>
                        <a:schemeClr val="accent1">
                          <a:lumMod val="10000"/>
                        </a:schemeClr>
                      </a:solidFill>
                    </a:defRPr>
                  </a:pPr>
                  <a:t>[CELLRANGE]</a:t>
                </a:fld>
                <a:r>
                  <a:rPr lang="en-US" baseline="0"/>
                  <a:t>, </a:t>
                </a:r>
                <a:fld id="{D58548AA-FB53-4E30-BE6C-815DA5FF1F09}"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rgbClr val="FFECAF"/>
          </a:solidFill>
          <a:ln w="19050">
            <a:noFill/>
          </a:ln>
          <a:effectLst/>
        </c:spPr>
        <c:dLbl>
          <c:idx val="0"/>
          <c:layout>
            <c:manualLayout>
              <c:x val="-9.1743119266055051E-2"/>
              <c:y val="9.722222222222214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99CAD3F5-42F6-4700-BDEA-8BA293C1002D}" type="CELLRANGE">
                  <a:rPr lang="en-US"/>
                  <a:pPr>
                    <a:defRPr b="1">
                      <a:solidFill>
                        <a:schemeClr val="accent1">
                          <a:lumMod val="10000"/>
                        </a:schemeClr>
                      </a:solidFill>
                    </a:defRPr>
                  </a:pPr>
                  <a:t>[CELLRANGE]</a:t>
                </a:fld>
                <a:r>
                  <a:rPr lang="en-US" baseline="0"/>
                  <a:t>, </a:t>
                </a:r>
                <a:fld id="{0E8D410E-0079-4500-BF15-00B60B057867}"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rgbClr val="FFDC6D"/>
              </a:solidFill>
              <a:ln w="19050">
                <a:noFill/>
              </a:ln>
              <a:effectLst/>
            </c:spPr>
            <c:extLst>
              <c:ext xmlns:c16="http://schemas.microsoft.com/office/drawing/2014/chart" uri="{C3380CC4-5D6E-409C-BE32-E72D297353CC}">
                <c16:uniqueId val="{00000001-176F-40FB-A8D7-950581BCD903}"/>
              </c:ext>
            </c:extLst>
          </c:dPt>
          <c:dPt>
            <c:idx val="1"/>
            <c:bubble3D val="0"/>
            <c:spPr>
              <a:solidFill>
                <a:srgbClr val="EEB500"/>
              </a:solidFill>
              <a:ln w="19050">
                <a:noFill/>
              </a:ln>
              <a:effectLst/>
            </c:spPr>
            <c:extLst>
              <c:ext xmlns:c16="http://schemas.microsoft.com/office/drawing/2014/chart" uri="{C3380CC4-5D6E-409C-BE32-E72D297353CC}">
                <c16:uniqueId val="{00000003-176F-40FB-A8D7-950581BCD903}"/>
              </c:ext>
            </c:extLst>
          </c:dPt>
          <c:dPt>
            <c:idx val="2"/>
            <c:bubble3D val="0"/>
            <c:spPr>
              <a:solidFill>
                <a:srgbClr val="8A6900"/>
              </a:solidFill>
              <a:ln w="19050">
                <a:noFill/>
              </a:ln>
              <a:effectLst/>
            </c:spPr>
            <c:extLst>
              <c:ext xmlns:c16="http://schemas.microsoft.com/office/drawing/2014/chart" uri="{C3380CC4-5D6E-409C-BE32-E72D297353CC}">
                <c16:uniqueId val="{00000005-176F-40FB-A8D7-950581BCD903}"/>
              </c:ext>
            </c:extLst>
          </c:dPt>
          <c:dPt>
            <c:idx val="3"/>
            <c:bubble3D val="0"/>
            <c:spPr>
              <a:solidFill>
                <a:srgbClr val="FFECAF"/>
              </a:solidFill>
              <a:ln w="19050">
                <a:noFill/>
              </a:ln>
              <a:effectLst/>
            </c:spPr>
            <c:extLst>
              <c:ext xmlns:c16="http://schemas.microsoft.com/office/drawing/2014/chart" uri="{C3380CC4-5D6E-409C-BE32-E72D297353CC}">
                <c16:uniqueId val="{00000007-176F-40FB-A8D7-950581BCD903}"/>
              </c:ext>
            </c:extLst>
          </c:dPt>
          <c:dLbls>
            <c:dLbl>
              <c:idx val="0"/>
              <c:layout>
                <c:manualLayout>
                  <c:x val="4.0774719673802244E-2"/>
                  <c:y val="-9.7222222222222238E-2"/>
                </c:manualLayout>
              </c:layout>
              <c:tx>
                <c:rich>
                  <a:bodyPr/>
                  <a:lstStyle/>
                  <a:p>
                    <a:fld id="{BCEFE3A1-5279-439B-9D5C-5592E783B872}" type="CELLRANGE">
                      <a:rPr lang="en-US"/>
                      <a:pPr/>
                      <a:t>[CELLRANGE]</a:t>
                    </a:fld>
                    <a:r>
                      <a:rPr lang="en-US" baseline="0"/>
                      <a:t>, </a:t>
                    </a:r>
                    <a:fld id="{BAABADB7-2A00-4493-AEDA-37DF95019FAB}"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dLbl>
              <c:idx val="1"/>
              <c:layout>
                <c:manualLayout>
                  <c:x val="0.12742099898063192"/>
                  <c:y val="-7.8703703703703748E-2"/>
                </c:manualLayout>
              </c:layout>
              <c:tx>
                <c:rich>
                  <a:bodyPr/>
                  <a:lstStyle/>
                  <a:p>
                    <a:fld id="{2A40DA4D-081C-4A75-AF48-49C192B11051}" type="CELLRANGE">
                      <a:rPr lang="en-US"/>
                      <a:pPr/>
                      <a:t>[CELLRANGE]</a:t>
                    </a:fld>
                    <a:r>
                      <a:rPr lang="en-US" baseline="0"/>
                      <a:t>, </a:t>
                    </a:r>
                    <a:fld id="{1A6EE693-C9CB-4490-8154-3CC7F77D7522}"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76F-40FB-A8D7-950581BCD903}"/>
                </c:ext>
              </c:extLst>
            </c:dLbl>
            <c:dLbl>
              <c:idx val="2"/>
              <c:layout>
                <c:manualLayout>
                  <c:x val="8.1549439347604488E-2"/>
                  <c:y val="0.12037037037037028"/>
                </c:manualLayout>
              </c:layout>
              <c:tx>
                <c:rich>
                  <a:bodyPr/>
                  <a:lstStyle/>
                  <a:p>
                    <a:fld id="{2EFC26A8-C002-4AAC-BD46-0D9C3C635444}" type="CELLRANGE">
                      <a:rPr lang="en-US" baseline="0"/>
                      <a:pPr/>
                      <a:t>[CELLRANGE]</a:t>
                    </a:fld>
                    <a:r>
                      <a:rPr lang="en-US" baseline="0"/>
                      <a:t>, </a:t>
                    </a:r>
                    <a:fld id="{D58548AA-FB53-4E30-BE6C-815DA5FF1F09}"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76F-40FB-A8D7-950581BCD903}"/>
                </c:ext>
              </c:extLst>
            </c:dLbl>
            <c:dLbl>
              <c:idx val="3"/>
              <c:layout>
                <c:manualLayout>
                  <c:x val="-9.1743119266055051E-2"/>
                  <c:y val="9.722222222222214E-2"/>
                </c:manualLayout>
              </c:layout>
              <c:tx>
                <c:rich>
                  <a:bodyPr/>
                  <a:lstStyle/>
                  <a:p>
                    <a:fld id="{99CAD3F5-42F6-4700-BDEA-8BA293C1002D}" type="CELLRANGE">
                      <a:rPr lang="en-US"/>
                      <a:pPr/>
                      <a:t>[CELLRANGE]</a:t>
                    </a:fld>
                    <a:r>
                      <a:rPr lang="en-US" baseline="0"/>
                      <a:t>, </a:t>
                    </a:r>
                    <a:fld id="{0E8D410E-0079-4500-BF15-00B60B057867}"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4"/>
                <c:pt idx="0">
                  <c:v>Alexandria</c:v>
                </c:pt>
                <c:pt idx="1">
                  <c:v>Cairo</c:v>
                </c:pt>
                <c:pt idx="2">
                  <c:v>Domietta</c:v>
                </c:pt>
                <c:pt idx="3">
                  <c:v>Giza</c:v>
                </c:pt>
              </c:strCache>
            </c:strRef>
          </c:cat>
          <c:val>
            <c:numRef>
              <c:f>'data analysis'!$H$21:$H$24</c:f>
              <c:numCache>
                <c:formatCode>General</c:formatCode>
                <c:ptCount val="4"/>
                <c:pt idx="0">
                  <c:v>38300</c:v>
                </c:pt>
                <c:pt idx="1">
                  <c:v>24270</c:v>
                </c:pt>
                <c:pt idx="2">
                  <c:v>155450</c:v>
                </c:pt>
                <c:pt idx="3">
                  <c:v>208510</c:v>
                </c:pt>
              </c:numCache>
            </c:numRef>
          </c:val>
          <c:extLst>
            <c:ext xmlns:c15="http://schemas.microsoft.com/office/drawing/2012/chart" uri="{02D57815-91ED-43cb-92C2-25804820EDAC}">
              <c15:datalabelsRange>
                <c15:f>'data analysis'!$H$21:$H$24</c15:f>
                <c15:dlblRangeCache>
                  <c:ptCount val="4"/>
                  <c:pt idx="0">
                    <c:v>Alexandria</c:v>
                  </c:pt>
                  <c:pt idx="1">
                    <c:v>Cairo</c:v>
                  </c:pt>
                  <c:pt idx="2">
                    <c:v>Domietta</c:v>
                  </c:pt>
                  <c:pt idx="3">
                    <c:v>Giza</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10000"/>
                  </a:schemeClr>
                </a:solidFill>
              </a:rPr>
              <a:t>top</a:t>
            </a:r>
            <a:r>
              <a:rPr lang="en-US" b="1" baseline="0">
                <a:solidFill>
                  <a:schemeClr val="accent1">
                    <a:lumMod val="10000"/>
                  </a:schemeClr>
                </a:solidFill>
              </a:rPr>
              <a:t> product by amount</a:t>
            </a:r>
            <a:r>
              <a:rPr lang="en-US" b="1">
                <a:solidFill>
                  <a:schemeClr val="accent1">
                    <a:lumMod val="10000"/>
                  </a:scheme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EB500"/>
          </a:solidFill>
          <a:ln>
            <a:noFill/>
          </a:ln>
          <a:effectLst/>
        </c:spPr>
      </c:pivotFmt>
      <c:pivotFmt>
        <c:idx val="4"/>
        <c:spPr>
          <a:solidFill>
            <a:srgbClr val="8A6900"/>
          </a:solidFill>
          <a:ln>
            <a:noFill/>
          </a:ln>
          <a:effectLst/>
        </c:spPr>
      </c:pivotFmt>
      <c:pivotFmt>
        <c:idx val="5"/>
        <c:spPr>
          <a:solidFill>
            <a:srgbClr val="FFDC6D"/>
          </a:solidFill>
          <a:ln>
            <a:noFill/>
          </a:ln>
          <a:effectLst/>
        </c:spPr>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Pt>
            <c:idx val="0"/>
            <c:invertIfNegative val="0"/>
            <c:bubble3D val="0"/>
            <c:spPr>
              <a:solidFill>
                <a:srgbClr val="EEB500"/>
              </a:solidFill>
              <a:ln>
                <a:noFill/>
              </a:ln>
              <a:effectLst/>
            </c:spPr>
            <c:extLst>
              <c:ext xmlns:c16="http://schemas.microsoft.com/office/drawing/2014/chart" uri="{C3380CC4-5D6E-409C-BE32-E72D297353CC}">
                <c16:uniqueId val="{00000000-5A75-4B97-9278-D824DAFE0E46}"/>
              </c:ext>
            </c:extLst>
          </c:dPt>
          <c:dPt>
            <c:idx val="1"/>
            <c:invertIfNegative val="0"/>
            <c:bubble3D val="0"/>
            <c:spPr>
              <a:solidFill>
                <a:srgbClr val="8A6900"/>
              </a:solidFill>
              <a:ln>
                <a:noFill/>
              </a:ln>
              <a:effectLst/>
            </c:spPr>
            <c:extLst>
              <c:ext xmlns:c16="http://schemas.microsoft.com/office/drawing/2014/chart" uri="{C3380CC4-5D6E-409C-BE32-E72D297353CC}">
                <c16:uniqueId val="{00000001-5A75-4B97-9278-D824DAFE0E46}"/>
              </c:ext>
            </c:extLst>
          </c:dPt>
          <c:dPt>
            <c:idx val="2"/>
            <c:invertIfNegative val="0"/>
            <c:bubble3D val="0"/>
            <c:spPr>
              <a:solidFill>
                <a:srgbClr val="FFDC6D"/>
              </a:solidFill>
              <a:ln>
                <a:noFill/>
              </a:ln>
              <a:effectLst/>
            </c:spPr>
            <c:extLst>
              <c:ext xmlns:c16="http://schemas.microsoft.com/office/drawing/2014/chart" uri="{C3380CC4-5D6E-409C-BE32-E72D297353CC}">
                <c16:uniqueId val="{00000002-5A75-4B97-9278-D824DAFE0E4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Monitor</c:v>
                </c:pt>
              </c:strCache>
            </c:strRef>
          </c:cat>
          <c:val>
            <c:numRef>
              <c:f>'data analysis'!$M$22:$M$25</c:f>
              <c:numCache>
                <c:formatCode>General</c:formatCode>
                <c:ptCount val="3"/>
                <c:pt idx="0">
                  <c:v>306000</c:v>
                </c:pt>
                <c:pt idx="1">
                  <c:v>79800</c:v>
                </c:pt>
                <c:pt idx="2">
                  <c:v>12000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15875" cap="flat" cmpd="sng" algn="ctr">
            <a:solidFill>
              <a:schemeClr val="tx1">
                <a:lumMod val="95000"/>
                <a:lumOff val="5000"/>
              </a:schemeClr>
            </a:solidFill>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EEB500">
            <a:shade val="30000"/>
            <a:satMod val="115000"/>
          </a:srgbClr>
        </a:gs>
        <a:gs pos="50000">
          <a:srgbClr val="EEB500">
            <a:shade val="67500"/>
            <a:satMod val="115000"/>
          </a:srgbClr>
        </a:gs>
        <a:gs pos="100000">
          <a:srgbClr val="EEB500">
            <a:shade val="100000"/>
            <a:satMod val="115000"/>
          </a:srgbClr>
        </a:gs>
      </a:gsLst>
      <a:path path="circle">
        <a:fillToRect t="100000" r="100000"/>
      </a:path>
      <a:tileRect l="-100000" b="-100000"/>
    </a:gradFill>
    <a:ln w="9525" cap="flat" cmpd="sng" algn="ctr">
      <a:solidFill>
        <a:srgbClr val="FFC000"/>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290180</c:v>
                </c:pt>
                <c:pt idx="1">
                  <c:v>136350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analysis'!$H$21:$H$25</c:f>
              <c:strCache>
                <c:ptCount val="4"/>
                <c:pt idx="0">
                  <c:v>Alexandria</c:v>
                </c:pt>
                <c:pt idx="1">
                  <c:v>Cairo</c:v>
                </c:pt>
                <c:pt idx="2">
                  <c:v>Domietta</c:v>
                </c:pt>
                <c:pt idx="3">
                  <c:v>Giza</c:v>
                </c:pt>
              </c:strCache>
            </c:strRef>
          </c:cat>
          <c:val>
            <c:numRef>
              <c:f>'data analysis'!$I$21:$I$25</c:f>
              <c:numCache>
                <c:formatCode>General</c:formatCode>
                <c:ptCount val="4"/>
                <c:pt idx="0">
                  <c:v>38300</c:v>
                </c:pt>
                <c:pt idx="1">
                  <c:v>24270</c:v>
                </c:pt>
                <c:pt idx="2">
                  <c:v>155450</c:v>
                </c:pt>
                <c:pt idx="3">
                  <c:v>208510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Monitor</c:v>
                </c:pt>
              </c:strCache>
            </c:strRef>
          </c:cat>
          <c:val>
            <c:numRef>
              <c:f>'data analysis'!$M$22:$M$25</c:f>
              <c:numCache>
                <c:formatCode>General</c:formatCode>
                <c:ptCount val="3"/>
                <c:pt idx="0">
                  <c:v>306000</c:v>
                </c:pt>
                <c:pt idx="1">
                  <c:v>79800</c:v>
                </c:pt>
                <c:pt idx="2">
                  <c:v>12000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rgbClr val="FFDD71"/>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$426,530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40</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10663</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gradFill flip="none" rotWithShape="1">
          <a:gsLst>
            <a:gs pos="0">
              <a:srgbClr val="EEB500">
                <a:shade val="30000"/>
                <a:satMod val="115000"/>
              </a:srgbClr>
            </a:gs>
            <a:gs pos="50000">
              <a:srgbClr val="EEB500">
                <a:shade val="67500"/>
                <a:satMod val="115000"/>
              </a:srgbClr>
            </a:gs>
            <a:gs pos="100000">
              <a:srgbClr val="EEB500">
                <a:shade val="100000"/>
                <a:satMod val="115000"/>
              </a:srgbClr>
            </a:gs>
          </a:gsLst>
          <a:path path="circle">
            <a:fillToRect t="100000" r="100000"/>
          </a:path>
          <a:tileRect l="-100000" b="-100000"/>
        </a:gradFill>
        <a:ln w="3175">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213360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18">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19">
      <pivotArea outline="0" collapsedLevelsAreSubtotals="1" fieldPosition="0"/>
    </format>
  </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20">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21">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1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3"/>
    </i>
    <i t="grand">
      <x/>
    </i>
  </rowItems>
  <colItems count="1">
    <i/>
  </colItems>
  <dataFields count="1">
    <dataField name="Sum of Amount" fld="7" baseField="0" baseItem="0"/>
  </dataFields>
  <formats count="1">
    <format dxfId="22">
      <pivotArea outline="0" collapsedLevelsAreSubtotals="1" fieldPosition="0"/>
    </format>
  </formats>
  <chartFormats count="8">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4" count="1" selected="0">
            <x v="2"/>
          </reference>
        </references>
      </pivotArea>
    </chartFormat>
    <chartFormat chart="8" format="4">
      <pivotArea type="data" outline="0" fieldPosition="0">
        <references count="2">
          <reference field="4294967294" count="1" selected="0">
            <x v="0"/>
          </reference>
          <reference field="4" count="1" selected="0">
            <x v="5"/>
          </reference>
        </references>
      </pivotArea>
    </chartFormat>
    <chartFormat chart="8" format="5">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filters count="2">
    <filter fld="1" type="dateBetween" evalOrder="-1" id="51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23">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Sum of Amount" fld="7" baseField="0" baseItem="0"/>
  </dataFields>
  <formats count="1">
    <format dxfId="24">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17"/>
    <tableColumn id="3" xr3:uid="{5C50CE82-4D1A-4C79-9D0F-247FE1CDFA5C}" uniqueName="3" name="Salesman" queryTableFieldId="3" dataDxfId="16"/>
    <tableColumn id="4" xr3:uid="{C594ECD2-D104-43F4-A766-C80694137000}" uniqueName="4" name="Region" queryTableFieldId="4" dataDxfId="15"/>
    <tableColumn id="5" xr3:uid="{4EBFE9AF-2CF8-4086-910A-E4FE148003F0}" uniqueName="5" name="Item" queryTableFieldId="5" dataDxfId="14"/>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topLeftCell="A18" workbookViewId="0">
      <selection activeCell="R40" sqref="R4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0.109375"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426530</v>
      </c>
      <c r="C6" s="6">
        <v>40</v>
      </c>
      <c r="E6" s="6">
        <v>10663.25</v>
      </c>
      <c r="H6" s="5" t="s">
        <v>33</v>
      </c>
      <c r="I6" s="6">
        <v>290180</v>
      </c>
    </row>
    <row r="7" spans="1:9" x14ac:dyDescent="0.3">
      <c r="A7" s="7">
        <f>GETPIVOTDATA("Amount",$A$5)</f>
        <v>426530</v>
      </c>
      <c r="C7">
        <f>GETPIVOTDATA("Item",$C$5)</f>
        <v>40</v>
      </c>
      <c r="E7" s="8">
        <f>GETPIVOTDATA("Amount",$E$5)</f>
        <v>10663.25</v>
      </c>
      <c r="H7" s="5" t="s">
        <v>34</v>
      </c>
      <c r="I7" s="6">
        <v>136350</v>
      </c>
    </row>
    <row r="8" spans="1:9" x14ac:dyDescent="0.3">
      <c r="H8" s="5" t="s">
        <v>27</v>
      </c>
      <c r="I8" s="6">
        <v>426530</v>
      </c>
    </row>
    <row r="20" spans="8:13" x14ac:dyDescent="0.3">
      <c r="H20" s="4" t="s">
        <v>26</v>
      </c>
      <c r="I20" t="s">
        <v>28</v>
      </c>
    </row>
    <row r="21" spans="8:13" x14ac:dyDescent="0.3">
      <c r="H21" s="5" t="s">
        <v>22</v>
      </c>
      <c r="I21" s="6">
        <v>38300</v>
      </c>
      <c r="L21" s="4" t="s">
        <v>26</v>
      </c>
      <c r="M21" t="s">
        <v>28</v>
      </c>
    </row>
    <row r="22" spans="8:13" x14ac:dyDescent="0.3">
      <c r="H22" s="5" t="s">
        <v>9</v>
      </c>
      <c r="I22" s="6">
        <v>24270</v>
      </c>
      <c r="L22" s="5" t="s">
        <v>19</v>
      </c>
      <c r="M22" s="6">
        <v>306000</v>
      </c>
    </row>
    <row r="23" spans="8:13" x14ac:dyDescent="0.3">
      <c r="H23" s="5" t="s">
        <v>12</v>
      </c>
      <c r="I23" s="6">
        <v>155450</v>
      </c>
      <c r="L23" s="5" t="s">
        <v>15</v>
      </c>
      <c r="M23" s="6">
        <v>79800</v>
      </c>
    </row>
    <row r="24" spans="8:13" x14ac:dyDescent="0.3">
      <c r="H24" s="5" t="s">
        <v>20</v>
      </c>
      <c r="I24" s="6">
        <v>208510</v>
      </c>
      <c r="L24" s="5" t="s">
        <v>23</v>
      </c>
      <c r="M24" s="6">
        <v>12000</v>
      </c>
    </row>
    <row r="25" spans="8:13" x14ac:dyDescent="0.3">
      <c r="H25" s="5" t="s">
        <v>27</v>
      </c>
      <c r="I25" s="6">
        <v>426530</v>
      </c>
      <c r="L25" s="5" t="s">
        <v>27</v>
      </c>
      <c r="M25" s="6">
        <v>397800</v>
      </c>
    </row>
    <row r="35" spans="8:9" x14ac:dyDescent="0.3">
      <c r="H35" s="4" t="s">
        <v>26</v>
      </c>
      <c r="I35" t="s">
        <v>28</v>
      </c>
    </row>
    <row r="36" spans="8:9" x14ac:dyDescent="0.3">
      <c r="H36" s="5" t="s">
        <v>8</v>
      </c>
      <c r="I36" s="6">
        <v>44190</v>
      </c>
    </row>
    <row r="37" spans="8:9" x14ac:dyDescent="0.3">
      <c r="H37" s="5" t="s">
        <v>11</v>
      </c>
      <c r="I37" s="6">
        <v>66010</v>
      </c>
    </row>
    <row r="38" spans="8:9" x14ac:dyDescent="0.3">
      <c r="H38" s="5" t="s">
        <v>14</v>
      </c>
      <c r="I38" s="6">
        <v>121600</v>
      </c>
    </row>
    <row r="39" spans="8:9" x14ac:dyDescent="0.3">
      <c r="H39" s="5" t="s">
        <v>16</v>
      </c>
      <c r="I39" s="6">
        <v>123820</v>
      </c>
    </row>
    <row r="40" spans="8:9" x14ac:dyDescent="0.3">
      <c r="H40" s="5" t="s">
        <v>18</v>
      </c>
      <c r="I40" s="6">
        <v>39400</v>
      </c>
    </row>
    <row r="41" spans="8:9" x14ac:dyDescent="0.3">
      <c r="H41" s="5" t="s">
        <v>17</v>
      </c>
      <c r="I41" s="6">
        <v>31510</v>
      </c>
    </row>
    <row r="42" spans="8:9" x14ac:dyDescent="0.3">
      <c r="H42" s="5" t="s">
        <v>27</v>
      </c>
      <c r="I42" s="6">
        <v>426530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2026-10-18T22:39:08Z</dcterms:modified>
</cp:coreProperties>
</file>