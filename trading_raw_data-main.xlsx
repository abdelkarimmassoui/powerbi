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power bi\"/>
    </mc:Choice>
  </mc:AlternateContent>
  <xr:revisionPtr revIDLastSave="0" documentId="13_ncr:1_{1EC7B2DD-A32B-4C77-AF18-08A119B352DD}" xr6:coauthVersionLast="47" xr6:coauthVersionMax="47" xr10:uidLastSave="{00000000-0000-0000-0000-000000000000}"/>
  <bookViews>
    <workbookView xWindow="-108" yWindow="-108" windowWidth="23256" windowHeight="12456" firstSheet="1" activeTab="5" xr2:uid="{29389193-7256-4448-99EA-708D1049F25F}"/>
  </bookViews>
  <sheets>
    <sheet name="Sheet1" sheetId="5" r:id="rId1"/>
    <sheet name="Sheet2" sheetId="7" r:id="rId2"/>
    <sheet name="Sheet3" sheetId="8" r:id="rId3"/>
    <sheet name="pivot table" sheetId="4" r:id="rId4"/>
    <sheet name="data analysis" sheetId="2" r:id="rId5"/>
    <sheet name="trading_raw_data2" sheetId="1" r:id="rId6"/>
    <sheet name="functions" sheetId="6" r:id="rId7"/>
    <sheet name="data cleaning " sheetId="3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6" l="1"/>
  <c r="G12" i="6"/>
  <c r="C6" i="6"/>
  <c r="C7" i="6"/>
  <c r="C8" i="6"/>
  <c r="C9" i="6"/>
  <c r="C10" i="6"/>
  <c r="C11" i="6"/>
  <c r="C12" i="6"/>
  <c r="C13" i="6"/>
  <c r="C5" i="6"/>
  <c r="D35" i="2"/>
  <c r="D38" i="2"/>
  <c r="C38" i="2"/>
  <c r="D37" i="2"/>
  <c r="C37" i="2"/>
  <c r="D36" i="2"/>
  <c r="C36" i="2"/>
  <c r="C35" i="2"/>
  <c r="X16" i="3" a="1"/>
  <c r="X16" i="3" s="1"/>
  <c r="X17" i="3" a="1"/>
  <c r="X17" i="3" s="1"/>
  <c r="X18" i="3" a="1"/>
  <c r="X18" i="3" s="1"/>
  <c r="X15" i="3" a="1"/>
  <c r="X15" i="3" s="1"/>
  <c r="M17" i="3"/>
  <c r="M18" i="3"/>
  <c r="M19" i="3"/>
  <c r="L17" i="3"/>
  <c r="L19" i="3"/>
  <c r="L18" i="3"/>
  <c r="L9" i="3"/>
  <c r="L10" i="3"/>
  <c r="L11" i="3"/>
  <c r="L12" i="3"/>
  <c r="I9" i="3"/>
  <c r="I10" i="3"/>
  <c r="I11" i="3"/>
  <c r="I12" i="3"/>
  <c r="I13" i="3"/>
  <c r="H9" i="3"/>
  <c r="H10" i="3"/>
  <c r="H11" i="3"/>
  <c r="H12" i="3"/>
  <c r="H13" i="3"/>
  <c r="E21" i="2"/>
  <c r="C22" i="2"/>
  <c r="C23" i="2"/>
  <c r="C24" i="2"/>
  <c r="C25" i="2"/>
  <c r="C26" i="2"/>
  <c r="C27" i="2"/>
  <c r="C28" i="2"/>
  <c r="C29" i="2"/>
  <c r="C30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L15" i="2"/>
  <c r="L16" i="2"/>
  <c r="L17" i="2"/>
  <c r="L18" i="2"/>
  <c r="K16" i="2"/>
  <c r="K17" i="2"/>
  <c r="K18" i="2"/>
  <c r="K15" i="2"/>
  <c r="E16" i="2"/>
  <c r="J16" i="2" s="1"/>
  <c r="E17" i="2"/>
  <c r="J17" i="2" s="1"/>
  <c r="E18" i="2"/>
  <c r="J18" i="2" s="1"/>
  <c r="D6" i="2"/>
  <c r="D7" i="2"/>
  <c r="D8" i="2"/>
  <c r="D9" i="2"/>
  <c r="D10" i="2"/>
  <c r="D11" i="2"/>
  <c r="D18" i="2"/>
  <c r="F18" i="2"/>
  <c r="G18" i="2"/>
  <c r="I18" i="2"/>
  <c r="D17" i="2"/>
  <c r="F17" i="2"/>
  <c r="G17" i="2"/>
  <c r="I17" i="2"/>
  <c r="D16" i="2"/>
  <c r="F16" i="2"/>
  <c r="G16" i="2"/>
  <c r="I16" i="2"/>
  <c r="D15" i="2"/>
  <c r="E15" i="2"/>
  <c r="J15" i="2" s="1"/>
  <c r="F15" i="2"/>
  <c r="G15" i="2"/>
  <c r="I15" i="2"/>
  <c r="D5" i="2"/>
  <c r="M18" i="2" l="1"/>
  <c r="M17" i="2"/>
  <c r="M16" i="2"/>
  <c r="M15" i="2"/>
  <c r="D12" i="2"/>
  <c r="H15" i="2"/>
  <c r="N15" i="2" s="1"/>
  <c r="H17" i="2"/>
  <c r="N17" i="2" s="1"/>
  <c r="H18" i="2"/>
  <c r="N18" i="2" s="1"/>
  <c r="H16" i="2"/>
  <c r="N1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<sst xmlns="http://schemas.openxmlformats.org/spreadsheetml/2006/main" count="865" uniqueCount="110">
  <si>
    <t>TradeID</t>
  </si>
  <si>
    <t>AccountID</t>
  </si>
  <si>
    <t>Pair</t>
  </si>
  <si>
    <t>Session</t>
  </si>
  <si>
    <t>Direction</t>
  </si>
  <si>
    <t>Profit</t>
  </si>
  <si>
    <t>R</t>
  </si>
  <si>
    <t>Result</t>
  </si>
  <si>
    <t>TradeDate</t>
  </si>
  <si>
    <t>EURUSD</t>
  </si>
  <si>
    <t>London</t>
  </si>
  <si>
    <t>Sell</t>
  </si>
  <si>
    <t>Win</t>
  </si>
  <si>
    <t>US30</t>
  </si>
  <si>
    <t>Buy</t>
  </si>
  <si>
    <t>GBPUSD</t>
  </si>
  <si>
    <t>New York</t>
  </si>
  <si>
    <t>Loss</t>
  </si>
  <si>
    <t>XAUUSD</t>
  </si>
  <si>
    <t>TOTAL TRADES</t>
  </si>
  <si>
    <t>TOTAL PROFIT</t>
  </si>
  <si>
    <t>AVERAGE PROFIT</t>
  </si>
  <si>
    <t>MAX PROFIT</t>
  </si>
  <si>
    <t>MIN PROFIT</t>
  </si>
  <si>
    <t>TOTAL WIN</t>
  </si>
  <si>
    <t>TOTAL LOSS</t>
  </si>
  <si>
    <t>WIN RATE</t>
  </si>
  <si>
    <t>PAIR</t>
  </si>
  <si>
    <t>AVG PROFIT</t>
  </si>
  <si>
    <t>WINS</t>
  </si>
  <si>
    <t>LOSSES</t>
  </si>
  <si>
    <t>PROFIT CONTRIBUTION</t>
  </si>
  <si>
    <t>AVG PROFIT LOSS</t>
  </si>
  <si>
    <t>AVG PROFIT WINS</t>
  </si>
  <si>
    <t>AVG R</t>
  </si>
  <si>
    <t>excptation value</t>
  </si>
  <si>
    <t>Risk Status</t>
  </si>
  <si>
    <t>Profit per R</t>
  </si>
  <si>
    <t xml:space="preserve">missing value </t>
  </si>
  <si>
    <t>columns</t>
  </si>
  <si>
    <t>count R NUMBER</t>
  </si>
  <si>
    <t xml:space="preserve">   eurusd</t>
  </si>
  <si>
    <t>eurusd</t>
  </si>
  <si>
    <t xml:space="preserve">    eurusd</t>
  </si>
  <si>
    <t>gold</t>
  </si>
  <si>
    <t>us30</t>
  </si>
  <si>
    <t>Clean Space</t>
  </si>
  <si>
    <t>trim</t>
  </si>
  <si>
    <t>check trim</t>
  </si>
  <si>
    <t>raw text</t>
  </si>
  <si>
    <t>text</t>
  </si>
  <si>
    <t>eur</t>
  </si>
  <si>
    <t>GOLD</t>
  </si>
  <si>
    <t>ud30</t>
  </si>
  <si>
    <t>oil</t>
  </si>
  <si>
    <t>convert</t>
  </si>
  <si>
    <t>text num</t>
  </si>
  <si>
    <t>673</t>
  </si>
  <si>
    <t>634</t>
  </si>
  <si>
    <t>check</t>
  </si>
  <si>
    <t>Account Type</t>
  </si>
  <si>
    <t>A001</t>
  </si>
  <si>
    <t>A002</t>
  </si>
  <si>
    <t>A003</t>
  </si>
  <si>
    <t>Funded</t>
  </si>
  <si>
    <t>Challenge</t>
  </si>
  <si>
    <t>A004</t>
  </si>
  <si>
    <t>Grand Total</t>
  </si>
  <si>
    <t>result column</t>
  </si>
  <si>
    <t>session rows</t>
  </si>
  <si>
    <t>GOOD</t>
  </si>
  <si>
    <t>REVIEW</t>
  </si>
  <si>
    <t>LONDON WIN RATE</t>
  </si>
  <si>
    <t>NEW YORK WIN RATE</t>
  </si>
  <si>
    <t>avg profit london</t>
  </si>
  <si>
    <t>avg profit new york</t>
  </si>
  <si>
    <t>avg  loss</t>
  </si>
  <si>
    <t>avg win</t>
  </si>
  <si>
    <t>Sum of Profit</t>
  </si>
  <si>
    <t>London Total</t>
  </si>
  <si>
    <t>New York Total</t>
  </si>
  <si>
    <t>name</t>
  </si>
  <si>
    <t>age</t>
  </si>
  <si>
    <t>country</t>
  </si>
  <si>
    <t>aba</t>
  </si>
  <si>
    <t>sisa</t>
  </si>
  <si>
    <t>kola</t>
  </si>
  <si>
    <t xml:space="preserve">jihan </t>
  </si>
  <si>
    <t>hana</t>
  </si>
  <si>
    <t>bila</t>
  </si>
  <si>
    <t>oha</t>
  </si>
  <si>
    <t>fifa</t>
  </si>
  <si>
    <t>fofo</t>
  </si>
  <si>
    <t>colum</t>
  </si>
  <si>
    <t>row</t>
  </si>
  <si>
    <t xml:space="preserve">h look up </t>
  </si>
  <si>
    <t>v look up</t>
  </si>
  <si>
    <t>Calculated Field</t>
  </si>
  <si>
    <t>Solve Order</t>
  </si>
  <si>
    <t>Field</t>
  </si>
  <si>
    <t>Formula</t>
  </si>
  <si>
    <t>Field1</t>
  </si>
  <si>
    <t>= 0</t>
  </si>
  <si>
    <t>Calculated Item</t>
  </si>
  <si>
    <t>Item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</si>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</sst>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10" xfId="0" applyFill="1" applyBorder="1"/>
    <xf numFmtId="164" fontId="0" fillId="0" borderId="10" xfId="0" applyNumberFormat="1" applyBorder="1"/>
    <xf numFmtId="1" fontId="0" fillId="0" borderId="10" xfId="0" applyNumberFormat="1" applyBorder="1"/>
    <xf numFmtId="9" fontId="0" fillId="0" borderId="10" xfId="42" applyFont="1" applyBorder="1"/>
    <xf numFmtId="0" fontId="0" fillId="0" borderId="11" xfId="0" applyFill="1" applyBorder="1"/>
    <xf numFmtId="10" fontId="0" fillId="0" borderId="10" xfId="0" applyNumberFormat="1" applyBorder="1"/>
    <xf numFmtId="0" fontId="0" fillId="33" borderId="11" xfId="0" applyFill="1" applyBorder="1"/>
    <xf numFmtId="0" fontId="0" fillId="33" borderId="0" xfId="0" applyFill="1"/>
    <xf numFmtId="14" fontId="0" fillId="33" borderId="0" xfId="0" applyNumberFormat="1" applyFill="1"/>
    <xf numFmtId="0" fontId="0" fillId="33" borderId="0" xfId="0" applyFill="1" applyBorder="1"/>
    <xf numFmtId="0" fontId="0" fillId="0" borderId="0" xfId="0" applyAlignment="1">
      <alignment wrapText="1"/>
    </xf>
    <xf numFmtId="49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0" fillId="0" borderId="0" xfId="0" applyAlignment="1">
      <alignment horizontal="center"/>
    </xf>
    <xf numFmtId="0" fontId="0" fillId="0" borderId="10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1" fontId="0" fillId="33" borderId="10" xfId="0" applyNumberFormat="1" applyFill="1" applyBorder="1"/>
    <xf numFmtId="0" fontId="16" fillId="33" borderId="10" xfId="0" applyFont="1" applyFill="1" applyBorder="1"/>
    <xf numFmtId="0" fontId="0" fillId="0" borderId="0" xfId="0" applyAlignment="1">
      <alignment horizontal="center"/>
    </xf>
    <xf numFmtId="0" fontId="16" fillId="34" borderId="10" xfId="0" applyFont="1" applyFill="1" applyBorder="1"/>
    <xf numFmtId="0" fontId="18" fillId="0" borderId="0" xfId="0" applyFont="1"/>
    <xf numFmtId="0" fontId="16" fillId="0" borderId="12" xfId="0" applyFont="1" applyBorder="1"/>
    <xf numFmtId="0" fontId="0" fillId="0" borderId="0" xfId="0" applyAlignment="1">
      <alignment horizontal="center"/>
    </xf>
    <xf numFmtId="0" fontId="0" fillId="34" borderId="1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84.786864351852" createdVersion="8" refreshedVersion="8" minRefreshableVersion="3" recordCount="100" xr:uid="{B5704D22-3EE7-4BB0-8E8C-6CA18976C1C7}">
  <cacheSource type="worksheet">
    <worksheetSource name="Table1"/>
  </cacheSource>
  <cacheFields count="11">
    <cacheField name="TradeID" numFmtId="0">
      <sharedItems containsSemiMixedTypes="0" containsString="0" containsNumber="1" containsInteger="1" minValue="1" maxValue="100"/>
    </cacheField>
    <cacheField name="AccountID" numFmtId="0">
      <sharedItems containsSemiMixedTypes="0" containsString="0" containsNumber="1" containsInteger="1" minValue="10001" maxValue="10006"/>
    </cacheField>
    <cacheField name="Pair" numFmtId="0">
      <sharedItems count="4">
        <s v="EURUSD"/>
        <s v="GBPUSD"/>
        <s v="US30"/>
        <s v="XAUUSD"/>
      </sharedItems>
    </cacheField>
    <cacheField name="Session" numFmtId="0">
      <sharedItems count="2">
        <s v="New York"/>
        <s v="London"/>
      </sharedItems>
    </cacheField>
    <cacheField name="Direction" numFmtId="0">
      <sharedItems/>
    </cacheField>
    <cacheField name="Profit" numFmtId="0">
      <sharedItems containsSemiMixedTypes="0" containsString="0" containsNumber="1" containsInteger="1" minValue="-375" maxValue="750"/>
    </cacheField>
    <cacheField name="R" numFmtId="0">
      <sharedItems containsSemiMixedTypes="0" containsString="0" containsNumber="1" minValue="-1.5" maxValue="3"/>
    </cacheField>
    <cacheField name="Risk Status" numFmtId="0">
      <sharedItems/>
    </cacheField>
    <cacheField name="Profit per R" numFmtId="0">
      <sharedItems containsSemiMixedTypes="0" containsString="0" containsNumber="1" containsInteger="1" minValue="50" maxValue="250"/>
    </cacheField>
    <cacheField name="Result" numFmtId="0">
      <sharedItems count="2">
        <s v="Win"/>
        <s v="Loss"/>
      </sharedItems>
    </cacheField>
    <cacheField name="TradeDate" numFmtId="14">
      <sharedItems containsSemiMixedTypes="0" containsNonDate="0" containsDate="1" containsString="0" minDate="2026-01-05T00:00:00" maxDate="2026-07-05T00:00:00" count="78">
        <d v="2026-05-22T00:00:00"/>
        <d v="2026-05-29T00:00:00"/>
        <d v="2026-05-26T00:00:00"/>
        <d v="2026-06-09T00:00:00"/>
        <d v="2026-01-19T00:00:00"/>
        <d v="2026-02-02T00:00:00"/>
        <d v="2026-03-10T00:00:00"/>
        <d v="2026-06-25T00:00:00"/>
        <d v="2026-03-20T00:00:00"/>
        <d v="2026-05-30T00:00:00"/>
        <d v="2026-01-31T00:00:00"/>
        <d v="2026-06-17T00:00:00"/>
        <d v="2026-03-26T00:00:00"/>
        <d v="2026-05-25T00:00:00"/>
        <d v="2026-02-06T00:00:00"/>
        <d v="2026-06-24T00:00:00"/>
        <d v="2026-01-12T00:00:00"/>
        <d v="2026-03-05T00:00:00"/>
        <d v="2026-05-07T00:00:00"/>
        <d v="2026-05-27T00:00:00"/>
        <d v="2026-01-11T00:00:00"/>
        <d v="2026-03-13T00:00:00"/>
        <d v="2026-03-07T00:00:00"/>
        <d v="2026-07-04T00:00:00"/>
        <d v="2026-05-09T00:00:00"/>
        <d v="2026-06-14T00:00:00"/>
        <d v="2026-03-12T00:00:00"/>
        <d v="2026-07-01T00:00:00"/>
        <d v="2026-01-08T00:00:00"/>
        <d v="2026-02-04T00:00:00"/>
        <d v="2026-04-13T00:00:00"/>
        <d v="2026-01-21T00:00:00"/>
        <d v="2026-04-23T00:00:00"/>
        <d v="2026-02-12T00:00:00"/>
        <d v="2026-04-30T00:00:00"/>
        <d v="2026-02-13T00:00:00"/>
        <d v="2026-06-29T00:00:00"/>
        <d v="2026-05-28T00:00:00"/>
        <d v="2026-06-01T00:00:00"/>
        <d v="2026-04-21T00:00:00"/>
        <d v="2026-06-04T00:00:00"/>
        <d v="2026-04-07T00:00:00"/>
        <d v="2026-03-14T00:00:00"/>
        <d v="2026-04-16T00:00:00"/>
        <d v="2026-03-18T00:00:00"/>
        <d v="2026-01-20T00:00:00"/>
        <d v="2026-05-23T00:00:00"/>
        <d v="2026-01-05T00:00:00"/>
        <d v="2026-06-18T00:00:00"/>
        <d v="2026-02-28T00:00:00"/>
        <d v="2026-06-30T00:00:00"/>
        <d v="2026-05-31T00:00:00"/>
        <d v="2026-04-08T00:00:00"/>
        <d v="2026-04-28T00:00:00"/>
        <d v="2026-05-18T00:00:00"/>
        <d v="2026-06-05T00:00:00"/>
        <d v="2026-02-23T00:00:00"/>
        <d v="2026-07-02T00:00:00"/>
        <d v="2026-04-05T00:00:00"/>
        <d v="2026-02-16T00:00:00"/>
        <d v="2026-01-25T00:00:00"/>
        <d v="2026-02-14T00:00:00"/>
        <d v="2026-02-01T00:00:00"/>
        <d v="2026-02-19T00:00:00"/>
        <d v="2026-05-04T00:00:00"/>
        <d v="2026-01-28T00:00:00"/>
        <d v="2026-04-19T00:00:00"/>
        <d v="2026-02-08T00:00:00"/>
        <d v="2026-05-02T00:00:00"/>
        <d v="2026-04-18T00:00:00"/>
        <d v="2026-03-15T00:00:00"/>
        <d v="2026-05-16T00:00:00"/>
        <d v="2026-01-13T00:00:00"/>
        <d v="2026-04-09T00:00:00"/>
        <d v="2026-06-07T00:00:00"/>
        <d v="2026-05-14T00:00:00"/>
        <d v="2026-03-30T00:00:00"/>
        <d v="2026-03-23T00:00:00"/>
      </sharedItems>
    </cacheField>
  </cacheFields>
  <extLst>
    <ext xmlns:x14="http://schemas.microsoft.com/office/spreadsheetml/2009/9/main" uri="{725AE2AE-9491-48be-B2B4-4EB974FC3084}">
      <x14:pivotCacheDefinition pivotCacheId="357931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6"/>
    <n v="10005"/>
    <x v="0"/>
    <x v="0"/>
    <s v="Buy"/>
    <n v="600"/>
    <n v="3"/>
    <s v="GOOD"/>
    <n v="200"/>
    <x v="0"/>
    <x v="0"/>
  </r>
  <r>
    <n v="80"/>
    <n v="10006"/>
    <x v="0"/>
    <x v="0"/>
    <s v="Sell"/>
    <n v="600"/>
    <n v="3"/>
    <s v="GOOD"/>
    <n v="200"/>
    <x v="0"/>
    <x v="1"/>
  </r>
  <r>
    <n v="16"/>
    <n v="10006"/>
    <x v="0"/>
    <x v="1"/>
    <s v="Sell"/>
    <n v="500"/>
    <n v="2"/>
    <s v="GOOD"/>
    <n v="250"/>
    <x v="0"/>
    <x v="2"/>
  </r>
  <r>
    <n v="78"/>
    <n v="10001"/>
    <x v="0"/>
    <x v="1"/>
    <s v="Sell"/>
    <n v="500"/>
    <n v="2"/>
    <s v="GOOD"/>
    <n v="250"/>
    <x v="0"/>
    <x v="3"/>
  </r>
  <r>
    <n v="35"/>
    <n v="10005"/>
    <x v="0"/>
    <x v="1"/>
    <s v="Buy"/>
    <n v="375"/>
    <n v="1.5"/>
    <s v="REVIEW"/>
    <n v="250"/>
    <x v="0"/>
    <x v="4"/>
  </r>
  <r>
    <n v="45"/>
    <n v="10003"/>
    <x v="0"/>
    <x v="1"/>
    <s v="Buy"/>
    <n v="375"/>
    <n v="1.5"/>
    <s v="REVIEW"/>
    <n v="250"/>
    <x v="0"/>
    <x v="5"/>
  </r>
  <r>
    <n v="43"/>
    <n v="10003"/>
    <x v="0"/>
    <x v="1"/>
    <s v="Sell"/>
    <n v="200"/>
    <n v="2"/>
    <s v="GOOD"/>
    <n v="100"/>
    <x v="0"/>
    <x v="6"/>
  </r>
  <r>
    <n v="77"/>
    <n v="10006"/>
    <x v="0"/>
    <x v="1"/>
    <s v="Sell"/>
    <n v="200"/>
    <n v="2"/>
    <s v="GOOD"/>
    <n v="100"/>
    <x v="0"/>
    <x v="7"/>
  </r>
  <r>
    <n v="99"/>
    <n v="10006"/>
    <x v="0"/>
    <x v="1"/>
    <s v="Sell"/>
    <n v="125"/>
    <n v="2.5"/>
    <s v="GOOD"/>
    <n v="50"/>
    <x v="0"/>
    <x v="8"/>
  </r>
  <r>
    <n v="97"/>
    <n v="10006"/>
    <x v="0"/>
    <x v="1"/>
    <s v="Buy"/>
    <n v="100"/>
    <n v="1"/>
    <s v="REVIEW"/>
    <n v="100"/>
    <x v="0"/>
    <x v="9"/>
  </r>
  <r>
    <n v="93"/>
    <n v="10004"/>
    <x v="0"/>
    <x v="0"/>
    <s v="Sell"/>
    <n v="75"/>
    <n v="1.5"/>
    <s v="REVIEW"/>
    <n v="50"/>
    <x v="0"/>
    <x v="10"/>
  </r>
  <r>
    <n v="1"/>
    <n v="10002"/>
    <x v="0"/>
    <x v="1"/>
    <s v="Sell"/>
    <n v="50"/>
    <n v="1"/>
    <s v="REVIEW"/>
    <n v="50"/>
    <x v="0"/>
    <x v="11"/>
  </r>
  <r>
    <n v="38"/>
    <n v="10005"/>
    <x v="0"/>
    <x v="1"/>
    <s v="Sell"/>
    <n v="-25"/>
    <n v="-0.5"/>
    <s v="REVIEW"/>
    <n v="50"/>
    <x v="1"/>
    <x v="12"/>
  </r>
  <r>
    <n v="30"/>
    <n v="10001"/>
    <x v="0"/>
    <x v="1"/>
    <s v="Buy"/>
    <n v="-50"/>
    <n v="-0.5"/>
    <s v="REVIEW"/>
    <n v="100"/>
    <x v="1"/>
    <x v="13"/>
  </r>
  <r>
    <n v="46"/>
    <n v="10001"/>
    <x v="0"/>
    <x v="0"/>
    <s v="Sell"/>
    <n v="-50"/>
    <n v="-0.5"/>
    <s v="REVIEW"/>
    <n v="100"/>
    <x v="1"/>
    <x v="14"/>
  </r>
  <r>
    <n v="47"/>
    <n v="10005"/>
    <x v="0"/>
    <x v="0"/>
    <s v="Sell"/>
    <n v="-50"/>
    <n v="-0.5"/>
    <s v="REVIEW"/>
    <n v="100"/>
    <x v="1"/>
    <x v="15"/>
  </r>
  <r>
    <n v="52"/>
    <n v="10005"/>
    <x v="0"/>
    <x v="0"/>
    <s v="Buy"/>
    <n v="-50"/>
    <n v="-1"/>
    <s v="REVIEW"/>
    <n v="50"/>
    <x v="1"/>
    <x v="16"/>
  </r>
  <r>
    <n v="8"/>
    <n v="10004"/>
    <x v="0"/>
    <x v="0"/>
    <s v="Sell"/>
    <n v="-100"/>
    <n v="-1"/>
    <s v="REVIEW"/>
    <n v="100"/>
    <x v="1"/>
    <x v="17"/>
  </r>
  <r>
    <n v="70"/>
    <n v="10004"/>
    <x v="0"/>
    <x v="0"/>
    <s v="Sell"/>
    <n v="-100"/>
    <n v="-1"/>
    <s v="REVIEW"/>
    <n v="100"/>
    <x v="1"/>
    <x v="18"/>
  </r>
  <r>
    <n v="86"/>
    <n v="10002"/>
    <x v="0"/>
    <x v="1"/>
    <s v="Buy"/>
    <n v="-100"/>
    <n v="-1"/>
    <s v="REVIEW"/>
    <n v="100"/>
    <x v="1"/>
    <x v="19"/>
  </r>
  <r>
    <n v="61"/>
    <n v="10005"/>
    <x v="0"/>
    <x v="1"/>
    <s v="Sell"/>
    <n v="-125"/>
    <n v="-0.5"/>
    <s v="REVIEW"/>
    <n v="250"/>
    <x v="1"/>
    <x v="20"/>
  </r>
  <r>
    <n v="34"/>
    <n v="10005"/>
    <x v="0"/>
    <x v="1"/>
    <s v="Sell"/>
    <n v="-150"/>
    <n v="-1.5"/>
    <s v="REVIEW"/>
    <n v="100"/>
    <x v="1"/>
    <x v="12"/>
  </r>
  <r>
    <n v="13"/>
    <n v="10006"/>
    <x v="1"/>
    <x v="1"/>
    <s v="Sell"/>
    <n v="750"/>
    <n v="3"/>
    <s v="GOOD"/>
    <n v="250"/>
    <x v="0"/>
    <x v="21"/>
  </r>
  <r>
    <n v="98"/>
    <n v="10001"/>
    <x v="1"/>
    <x v="1"/>
    <s v="Buy"/>
    <n v="750"/>
    <n v="3"/>
    <s v="GOOD"/>
    <n v="250"/>
    <x v="0"/>
    <x v="22"/>
  </r>
  <r>
    <n v="68"/>
    <n v="10004"/>
    <x v="1"/>
    <x v="1"/>
    <s v="Sell"/>
    <n v="625"/>
    <n v="2.5"/>
    <s v="GOOD"/>
    <n v="250"/>
    <x v="0"/>
    <x v="23"/>
  </r>
  <r>
    <n v="85"/>
    <n v="10003"/>
    <x v="1"/>
    <x v="0"/>
    <s v="Sell"/>
    <n v="600"/>
    <n v="3"/>
    <s v="GOOD"/>
    <n v="200"/>
    <x v="0"/>
    <x v="24"/>
  </r>
  <r>
    <n v="15"/>
    <n v="10004"/>
    <x v="1"/>
    <x v="0"/>
    <s v="Buy"/>
    <n v="500"/>
    <n v="2.5"/>
    <s v="GOOD"/>
    <n v="200"/>
    <x v="0"/>
    <x v="25"/>
  </r>
  <r>
    <n v="37"/>
    <n v="10003"/>
    <x v="1"/>
    <x v="0"/>
    <s v="Buy"/>
    <n v="500"/>
    <n v="2"/>
    <s v="GOOD"/>
    <n v="250"/>
    <x v="0"/>
    <x v="26"/>
  </r>
  <r>
    <n v="71"/>
    <n v="10004"/>
    <x v="1"/>
    <x v="0"/>
    <s v="Sell"/>
    <n v="500"/>
    <n v="2"/>
    <s v="GOOD"/>
    <n v="250"/>
    <x v="0"/>
    <x v="24"/>
  </r>
  <r>
    <n v="88"/>
    <n v="10004"/>
    <x v="1"/>
    <x v="0"/>
    <s v="Sell"/>
    <n v="500"/>
    <n v="2"/>
    <s v="GOOD"/>
    <n v="250"/>
    <x v="0"/>
    <x v="27"/>
  </r>
  <r>
    <n v="76"/>
    <n v="10005"/>
    <x v="1"/>
    <x v="1"/>
    <s v="Buy"/>
    <n v="375"/>
    <n v="1.5"/>
    <s v="REVIEW"/>
    <n v="250"/>
    <x v="0"/>
    <x v="16"/>
  </r>
  <r>
    <n v="92"/>
    <n v="10001"/>
    <x v="1"/>
    <x v="0"/>
    <s v="Buy"/>
    <n v="375"/>
    <n v="1.5"/>
    <s v="REVIEW"/>
    <n v="250"/>
    <x v="0"/>
    <x v="28"/>
  </r>
  <r>
    <n v="10"/>
    <n v="10004"/>
    <x v="1"/>
    <x v="1"/>
    <s v="Buy"/>
    <n v="300"/>
    <n v="3"/>
    <s v="GOOD"/>
    <n v="100"/>
    <x v="0"/>
    <x v="3"/>
  </r>
  <r>
    <n v="23"/>
    <n v="10003"/>
    <x v="1"/>
    <x v="1"/>
    <s v="Buy"/>
    <n v="300"/>
    <n v="3"/>
    <s v="GOOD"/>
    <n v="100"/>
    <x v="0"/>
    <x v="29"/>
  </r>
  <r>
    <n v="54"/>
    <n v="10006"/>
    <x v="1"/>
    <x v="0"/>
    <s v="Buy"/>
    <n v="300"/>
    <n v="3"/>
    <s v="GOOD"/>
    <n v="100"/>
    <x v="0"/>
    <x v="30"/>
  </r>
  <r>
    <n v="12"/>
    <n v="10006"/>
    <x v="1"/>
    <x v="0"/>
    <s v="Buy"/>
    <n v="250"/>
    <n v="2.5"/>
    <s v="GOOD"/>
    <n v="100"/>
    <x v="0"/>
    <x v="31"/>
  </r>
  <r>
    <n v="63"/>
    <n v="10001"/>
    <x v="1"/>
    <x v="1"/>
    <s v="Sell"/>
    <n v="250"/>
    <n v="1"/>
    <s v="REVIEW"/>
    <n v="250"/>
    <x v="0"/>
    <x v="32"/>
  </r>
  <r>
    <n v="95"/>
    <n v="10002"/>
    <x v="1"/>
    <x v="0"/>
    <s v="Buy"/>
    <n v="250"/>
    <n v="2.5"/>
    <s v="GOOD"/>
    <n v="100"/>
    <x v="0"/>
    <x v="33"/>
  </r>
  <r>
    <n v="84"/>
    <n v="10003"/>
    <x v="1"/>
    <x v="0"/>
    <s v="Sell"/>
    <n v="200"/>
    <n v="2"/>
    <s v="GOOD"/>
    <n v="100"/>
    <x v="0"/>
    <x v="34"/>
  </r>
  <r>
    <n v="33"/>
    <n v="10001"/>
    <x v="1"/>
    <x v="0"/>
    <s v="Buy"/>
    <n v="150"/>
    <n v="3"/>
    <s v="GOOD"/>
    <n v="50"/>
    <x v="0"/>
    <x v="35"/>
  </r>
  <r>
    <n v="100"/>
    <n v="10004"/>
    <x v="1"/>
    <x v="0"/>
    <s v="Buy"/>
    <n v="150"/>
    <n v="1.5"/>
    <s v="REVIEW"/>
    <n v="100"/>
    <x v="0"/>
    <x v="36"/>
  </r>
  <r>
    <n v="3"/>
    <n v="10004"/>
    <x v="1"/>
    <x v="0"/>
    <s v="Buy"/>
    <n v="100"/>
    <n v="1"/>
    <s v="REVIEW"/>
    <n v="100"/>
    <x v="0"/>
    <x v="37"/>
  </r>
  <r>
    <n v="7"/>
    <n v="10006"/>
    <x v="1"/>
    <x v="1"/>
    <s v="Buy"/>
    <n v="100"/>
    <n v="2"/>
    <s v="GOOD"/>
    <n v="50"/>
    <x v="0"/>
    <x v="38"/>
  </r>
  <r>
    <n v="20"/>
    <n v="10006"/>
    <x v="1"/>
    <x v="1"/>
    <s v="Buy"/>
    <n v="100"/>
    <n v="1"/>
    <s v="REVIEW"/>
    <n v="100"/>
    <x v="0"/>
    <x v="4"/>
  </r>
  <r>
    <n v="62"/>
    <n v="10004"/>
    <x v="1"/>
    <x v="0"/>
    <s v="Sell"/>
    <n v="50"/>
    <n v="1"/>
    <s v="REVIEW"/>
    <n v="50"/>
    <x v="0"/>
    <x v="39"/>
  </r>
  <r>
    <n v="24"/>
    <n v="10006"/>
    <x v="1"/>
    <x v="1"/>
    <s v="Buy"/>
    <n v="-25"/>
    <n v="-0.5"/>
    <s v="REVIEW"/>
    <n v="50"/>
    <x v="1"/>
    <x v="40"/>
  </r>
  <r>
    <n v="14"/>
    <n v="10001"/>
    <x v="1"/>
    <x v="1"/>
    <s v="Sell"/>
    <n v="-50"/>
    <n v="-0.5"/>
    <s v="REVIEW"/>
    <n v="100"/>
    <x v="1"/>
    <x v="41"/>
  </r>
  <r>
    <n v="49"/>
    <n v="10001"/>
    <x v="1"/>
    <x v="1"/>
    <s v="Sell"/>
    <n v="-50"/>
    <n v="-0.5"/>
    <s v="REVIEW"/>
    <n v="100"/>
    <x v="1"/>
    <x v="42"/>
  </r>
  <r>
    <n v="79"/>
    <n v="10001"/>
    <x v="1"/>
    <x v="1"/>
    <s v="Buy"/>
    <n v="-50"/>
    <n v="-1"/>
    <s v="REVIEW"/>
    <n v="50"/>
    <x v="1"/>
    <x v="43"/>
  </r>
  <r>
    <n v="40"/>
    <n v="10005"/>
    <x v="1"/>
    <x v="0"/>
    <s v="Sell"/>
    <n v="-75"/>
    <n v="-1.5"/>
    <s v="REVIEW"/>
    <n v="50"/>
    <x v="1"/>
    <x v="44"/>
  </r>
  <r>
    <n v="39"/>
    <n v="10003"/>
    <x v="1"/>
    <x v="0"/>
    <s v="Buy"/>
    <n v="-100"/>
    <n v="-0.5"/>
    <s v="REVIEW"/>
    <n v="200"/>
    <x v="1"/>
    <x v="0"/>
  </r>
  <r>
    <n v="29"/>
    <n v="10002"/>
    <x v="1"/>
    <x v="0"/>
    <s v="Sell"/>
    <n v="-125"/>
    <n v="-0.5"/>
    <s v="REVIEW"/>
    <n v="250"/>
    <x v="1"/>
    <x v="32"/>
  </r>
  <r>
    <n v="69"/>
    <n v="10005"/>
    <x v="1"/>
    <x v="0"/>
    <s v="Sell"/>
    <n v="-125"/>
    <n v="-0.5"/>
    <s v="REVIEW"/>
    <n v="250"/>
    <x v="1"/>
    <x v="45"/>
  </r>
  <r>
    <n v="22"/>
    <n v="10006"/>
    <x v="1"/>
    <x v="0"/>
    <s v="Sell"/>
    <n v="-250"/>
    <n v="-1"/>
    <s v="REVIEW"/>
    <n v="250"/>
    <x v="1"/>
    <x v="46"/>
  </r>
  <r>
    <n v="36"/>
    <n v="10004"/>
    <x v="1"/>
    <x v="1"/>
    <s v="Buy"/>
    <n v="-300"/>
    <n v="-1.5"/>
    <s v="REVIEW"/>
    <n v="200"/>
    <x v="1"/>
    <x v="29"/>
  </r>
  <r>
    <n v="32"/>
    <n v="10003"/>
    <x v="2"/>
    <x v="0"/>
    <s v="Sell"/>
    <n v="750"/>
    <n v="3"/>
    <s v="GOOD"/>
    <n v="250"/>
    <x v="0"/>
    <x v="47"/>
  </r>
  <r>
    <n v="73"/>
    <n v="10002"/>
    <x v="2"/>
    <x v="1"/>
    <s v="Sell"/>
    <n v="500"/>
    <n v="2.5"/>
    <s v="GOOD"/>
    <n v="200"/>
    <x v="0"/>
    <x v="48"/>
  </r>
  <r>
    <n v="74"/>
    <n v="10004"/>
    <x v="2"/>
    <x v="0"/>
    <s v="Sell"/>
    <n v="500"/>
    <n v="2.5"/>
    <s v="GOOD"/>
    <n v="200"/>
    <x v="0"/>
    <x v="49"/>
  </r>
  <r>
    <n v="87"/>
    <n v="10001"/>
    <x v="2"/>
    <x v="0"/>
    <s v="Sell"/>
    <n v="375"/>
    <n v="1.5"/>
    <s v="REVIEW"/>
    <n v="250"/>
    <x v="0"/>
    <x v="50"/>
  </r>
  <r>
    <n v="65"/>
    <n v="10004"/>
    <x v="2"/>
    <x v="1"/>
    <s v="Sell"/>
    <n v="300"/>
    <n v="1.5"/>
    <s v="REVIEW"/>
    <n v="200"/>
    <x v="0"/>
    <x v="13"/>
  </r>
  <r>
    <n v="26"/>
    <n v="10004"/>
    <x v="2"/>
    <x v="1"/>
    <s v="Sell"/>
    <n v="250"/>
    <n v="1"/>
    <s v="REVIEW"/>
    <n v="250"/>
    <x v="0"/>
    <x v="51"/>
  </r>
  <r>
    <n v="55"/>
    <n v="10005"/>
    <x v="2"/>
    <x v="1"/>
    <s v="Sell"/>
    <n v="200"/>
    <n v="1"/>
    <s v="REVIEW"/>
    <n v="200"/>
    <x v="0"/>
    <x v="52"/>
  </r>
  <r>
    <n v="59"/>
    <n v="10006"/>
    <x v="2"/>
    <x v="1"/>
    <s v="Sell"/>
    <n v="200"/>
    <n v="1"/>
    <s v="REVIEW"/>
    <n v="200"/>
    <x v="0"/>
    <x v="53"/>
  </r>
  <r>
    <n v="66"/>
    <n v="10004"/>
    <x v="2"/>
    <x v="1"/>
    <s v="Sell"/>
    <n v="200"/>
    <n v="2"/>
    <s v="GOOD"/>
    <n v="100"/>
    <x v="0"/>
    <x v="54"/>
  </r>
  <r>
    <n v="2"/>
    <n v="10001"/>
    <x v="2"/>
    <x v="1"/>
    <s v="Buy"/>
    <n v="150"/>
    <n v="3"/>
    <s v="GOOD"/>
    <n v="50"/>
    <x v="0"/>
    <x v="55"/>
  </r>
  <r>
    <n v="94"/>
    <n v="10004"/>
    <x v="2"/>
    <x v="1"/>
    <s v="Buy"/>
    <n v="150"/>
    <n v="3"/>
    <s v="GOOD"/>
    <n v="50"/>
    <x v="0"/>
    <x v="6"/>
  </r>
  <r>
    <n v="57"/>
    <n v="10005"/>
    <x v="2"/>
    <x v="0"/>
    <s v="Buy"/>
    <n v="125"/>
    <n v="2.5"/>
    <s v="GOOD"/>
    <n v="50"/>
    <x v="0"/>
    <x v="56"/>
  </r>
  <r>
    <n v="4"/>
    <n v="10002"/>
    <x v="2"/>
    <x v="0"/>
    <s v="Sell"/>
    <n v="100"/>
    <n v="2"/>
    <s v="GOOD"/>
    <n v="50"/>
    <x v="0"/>
    <x v="57"/>
  </r>
  <r>
    <n v="27"/>
    <n v="10006"/>
    <x v="2"/>
    <x v="0"/>
    <s v="Sell"/>
    <n v="50"/>
    <n v="1"/>
    <s v="REVIEW"/>
    <n v="50"/>
    <x v="0"/>
    <x v="58"/>
  </r>
  <r>
    <n v="72"/>
    <n v="10004"/>
    <x v="2"/>
    <x v="1"/>
    <s v="Buy"/>
    <n v="50"/>
    <n v="1"/>
    <s v="REVIEW"/>
    <n v="50"/>
    <x v="0"/>
    <x v="59"/>
  </r>
  <r>
    <n v="75"/>
    <n v="10003"/>
    <x v="2"/>
    <x v="1"/>
    <s v="Buy"/>
    <n v="50"/>
    <n v="1"/>
    <s v="REVIEW"/>
    <n v="50"/>
    <x v="0"/>
    <x v="60"/>
  </r>
  <r>
    <n v="17"/>
    <n v="10005"/>
    <x v="2"/>
    <x v="1"/>
    <s v="Sell"/>
    <n v="-75"/>
    <n v="-1.5"/>
    <s v="REVIEW"/>
    <n v="50"/>
    <x v="1"/>
    <x v="61"/>
  </r>
  <r>
    <n v="53"/>
    <n v="10004"/>
    <x v="2"/>
    <x v="0"/>
    <s v="Sell"/>
    <n v="-75"/>
    <n v="-1.5"/>
    <s v="REVIEW"/>
    <n v="50"/>
    <x v="1"/>
    <x v="62"/>
  </r>
  <r>
    <n v="21"/>
    <n v="10005"/>
    <x v="2"/>
    <x v="1"/>
    <s v="Sell"/>
    <n v="-100"/>
    <n v="-1"/>
    <s v="REVIEW"/>
    <n v="100"/>
    <x v="1"/>
    <x v="14"/>
  </r>
  <r>
    <n v="48"/>
    <n v="10006"/>
    <x v="2"/>
    <x v="1"/>
    <s v="Buy"/>
    <n v="-100"/>
    <n v="-1"/>
    <s v="REVIEW"/>
    <n v="100"/>
    <x v="1"/>
    <x v="63"/>
  </r>
  <r>
    <n v="83"/>
    <n v="10002"/>
    <x v="2"/>
    <x v="0"/>
    <s v="Sell"/>
    <n v="-100"/>
    <n v="-0.5"/>
    <s v="REVIEW"/>
    <n v="200"/>
    <x v="1"/>
    <x v="64"/>
  </r>
  <r>
    <n v="5"/>
    <n v="10003"/>
    <x v="2"/>
    <x v="1"/>
    <s v="Sell"/>
    <n v="-125"/>
    <n v="-0.5"/>
    <s v="REVIEW"/>
    <n v="250"/>
    <x v="1"/>
    <x v="65"/>
  </r>
  <r>
    <n v="31"/>
    <n v="10004"/>
    <x v="2"/>
    <x v="0"/>
    <s v="Buy"/>
    <n v="-125"/>
    <n v="-0.5"/>
    <s v="REVIEW"/>
    <n v="250"/>
    <x v="1"/>
    <x v="66"/>
  </r>
  <r>
    <n v="96"/>
    <n v="10003"/>
    <x v="2"/>
    <x v="0"/>
    <s v="Sell"/>
    <n v="-200"/>
    <n v="-1"/>
    <s v="REVIEW"/>
    <n v="200"/>
    <x v="1"/>
    <x v="54"/>
  </r>
  <r>
    <n v="64"/>
    <n v="10005"/>
    <x v="2"/>
    <x v="0"/>
    <s v="Sell"/>
    <n v="-375"/>
    <n v="-1.5"/>
    <s v="REVIEW"/>
    <n v="250"/>
    <x v="1"/>
    <x v="67"/>
  </r>
  <r>
    <n v="81"/>
    <n v="10004"/>
    <x v="2"/>
    <x v="0"/>
    <s v="Buy"/>
    <n v="-375"/>
    <n v="-1.5"/>
    <s v="REVIEW"/>
    <n v="250"/>
    <x v="1"/>
    <x v="28"/>
  </r>
  <r>
    <n v="82"/>
    <n v="10005"/>
    <x v="2"/>
    <x v="1"/>
    <s v="Sell"/>
    <n v="-375"/>
    <n v="-1.5"/>
    <s v="REVIEW"/>
    <n v="250"/>
    <x v="1"/>
    <x v="35"/>
  </r>
  <r>
    <n v="90"/>
    <n v="10002"/>
    <x v="3"/>
    <x v="1"/>
    <s v="Buy"/>
    <n v="500"/>
    <n v="2.5"/>
    <s v="GOOD"/>
    <n v="200"/>
    <x v="0"/>
    <x v="56"/>
  </r>
  <r>
    <n v="50"/>
    <n v="10002"/>
    <x v="3"/>
    <x v="0"/>
    <s v="Buy"/>
    <n v="375"/>
    <n v="1.5"/>
    <s v="REVIEW"/>
    <n v="250"/>
    <x v="0"/>
    <x v="68"/>
  </r>
  <r>
    <n v="91"/>
    <n v="10003"/>
    <x v="3"/>
    <x v="1"/>
    <s v="Buy"/>
    <n v="300"/>
    <n v="1.5"/>
    <s v="REVIEW"/>
    <n v="200"/>
    <x v="0"/>
    <x v="40"/>
  </r>
  <r>
    <n v="28"/>
    <n v="10002"/>
    <x v="3"/>
    <x v="1"/>
    <s v="Buy"/>
    <n v="250"/>
    <n v="2.5"/>
    <s v="GOOD"/>
    <n v="100"/>
    <x v="0"/>
    <x v="69"/>
  </r>
  <r>
    <n v="67"/>
    <n v="10002"/>
    <x v="3"/>
    <x v="0"/>
    <s v="Buy"/>
    <n v="250"/>
    <n v="2.5"/>
    <s v="GOOD"/>
    <n v="100"/>
    <x v="0"/>
    <x v="70"/>
  </r>
  <r>
    <n v="60"/>
    <n v="10006"/>
    <x v="3"/>
    <x v="1"/>
    <s v="Buy"/>
    <n v="150"/>
    <n v="1.5"/>
    <s v="REVIEW"/>
    <n v="100"/>
    <x v="0"/>
    <x v="71"/>
  </r>
  <r>
    <n v="41"/>
    <n v="10003"/>
    <x v="3"/>
    <x v="1"/>
    <s v="Buy"/>
    <n v="100"/>
    <n v="1"/>
    <s v="REVIEW"/>
    <n v="100"/>
    <x v="0"/>
    <x v="15"/>
  </r>
  <r>
    <n v="89"/>
    <n v="10003"/>
    <x v="3"/>
    <x v="0"/>
    <s v="Sell"/>
    <n v="75"/>
    <n v="1.5"/>
    <s v="REVIEW"/>
    <n v="50"/>
    <x v="0"/>
    <x v="13"/>
  </r>
  <r>
    <n v="25"/>
    <n v="10003"/>
    <x v="3"/>
    <x v="1"/>
    <s v="Buy"/>
    <n v="-50"/>
    <n v="-0.5"/>
    <s v="REVIEW"/>
    <n v="100"/>
    <x v="1"/>
    <x v="72"/>
  </r>
  <r>
    <n v="9"/>
    <n v="10006"/>
    <x v="3"/>
    <x v="1"/>
    <s v="Sell"/>
    <n v="-75"/>
    <n v="-1.5"/>
    <s v="REVIEW"/>
    <n v="50"/>
    <x v="1"/>
    <x v="73"/>
  </r>
  <r>
    <n v="18"/>
    <n v="10003"/>
    <x v="3"/>
    <x v="1"/>
    <s v="Buy"/>
    <n v="-75"/>
    <n v="-1.5"/>
    <s v="REVIEW"/>
    <n v="50"/>
    <x v="1"/>
    <x v="25"/>
  </r>
  <r>
    <n v="44"/>
    <n v="10005"/>
    <x v="3"/>
    <x v="1"/>
    <s v="Sell"/>
    <n v="-75"/>
    <n v="-1.5"/>
    <s v="REVIEW"/>
    <n v="50"/>
    <x v="1"/>
    <x v="11"/>
  </r>
  <r>
    <n v="19"/>
    <n v="10001"/>
    <x v="3"/>
    <x v="0"/>
    <s v="Buy"/>
    <n v="-100"/>
    <n v="-1"/>
    <s v="REVIEW"/>
    <n v="100"/>
    <x v="1"/>
    <x v="74"/>
  </r>
  <r>
    <n v="56"/>
    <n v="10004"/>
    <x v="3"/>
    <x v="0"/>
    <s v="Sell"/>
    <n v="-150"/>
    <n v="-1.5"/>
    <s v="REVIEW"/>
    <n v="100"/>
    <x v="1"/>
    <x v="75"/>
  </r>
  <r>
    <n v="11"/>
    <n v="10001"/>
    <x v="3"/>
    <x v="1"/>
    <s v="Buy"/>
    <n v="-200"/>
    <n v="-1"/>
    <s v="REVIEW"/>
    <n v="200"/>
    <x v="1"/>
    <x v="36"/>
  </r>
  <r>
    <n v="51"/>
    <n v="10003"/>
    <x v="3"/>
    <x v="1"/>
    <s v="Sell"/>
    <n v="-200"/>
    <n v="-1"/>
    <s v="REVIEW"/>
    <n v="200"/>
    <x v="1"/>
    <x v="76"/>
  </r>
  <r>
    <n v="42"/>
    <n v="10002"/>
    <x v="3"/>
    <x v="1"/>
    <s v="Sell"/>
    <n v="-250"/>
    <n v="-1"/>
    <s v="REVIEW"/>
    <n v="250"/>
    <x v="1"/>
    <x v="70"/>
  </r>
  <r>
    <n v="58"/>
    <n v="10005"/>
    <x v="3"/>
    <x v="1"/>
    <s v="Sell"/>
    <n v="-250"/>
    <n v="-1"/>
    <s v="REVIEW"/>
    <n v="250"/>
    <x v="1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79A61-38FD-45EA-A18C-EAC9CD9184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session rows" colHeaderCaption="result column">
  <location ref="A3:H10" firstHeaderRow="1" firstDataRow="3" firstDataCol="1"/>
  <pivotFields count="11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numFmtId="14" showAll="0">
      <items count="79">
        <item x="47"/>
        <item x="28"/>
        <item x="20"/>
        <item x="16"/>
        <item x="72"/>
        <item x="4"/>
        <item x="45"/>
        <item x="31"/>
        <item x="60"/>
        <item x="65"/>
        <item x="10"/>
        <item x="62"/>
        <item x="5"/>
        <item x="29"/>
        <item x="14"/>
        <item x="67"/>
        <item x="33"/>
        <item x="35"/>
        <item x="61"/>
        <item x="59"/>
        <item x="63"/>
        <item x="56"/>
        <item x="49"/>
        <item x="17"/>
        <item x="22"/>
        <item x="6"/>
        <item x="26"/>
        <item x="21"/>
        <item x="42"/>
        <item x="70"/>
        <item x="44"/>
        <item x="8"/>
        <item x="77"/>
        <item x="12"/>
        <item x="76"/>
        <item x="58"/>
        <item x="41"/>
        <item x="52"/>
        <item x="73"/>
        <item x="30"/>
        <item x="43"/>
        <item x="69"/>
        <item x="66"/>
        <item x="39"/>
        <item x="32"/>
        <item x="53"/>
        <item x="34"/>
        <item x="68"/>
        <item x="64"/>
        <item x="18"/>
        <item x="24"/>
        <item x="75"/>
        <item x="71"/>
        <item x="54"/>
        <item x="0"/>
        <item x="46"/>
        <item x="13"/>
        <item x="2"/>
        <item x="19"/>
        <item x="37"/>
        <item x="1"/>
        <item x="9"/>
        <item x="51"/>
        <item x="38"/>
        <item x="40"/>
        <item x="55"/>
        <item x="74"/>
        <item x="3"/>
        <item x="25"/>
        <item x="11"/>
        <item x="48"/>
        <item x="15"/>
        <item x="7"/>
        <item x="36"/>
        <item x="50"/>
        <item x="27"/>
        <item x="57"/>
        <item x="2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Profit" fld="5" baseField="0" baseItem="0"/>
  </dataFields>
  <formats count="1">
    <format dxfId="13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E02DECA-88F9-4E49-B9E5-EC28AE4B45F9}" name="Table6" displayName="Table6" ref="A1:K57" totalsRowShown="0">
  <autoFilter ref="A1:K57" xr:uid="{3E02DECA-88F9-4E49-B9E5-EC28AE4B45F9}"/>
  <tableColumns count="11">
    <tableColumn id="1" xr3:uid="{37C8F018-C5F6-4B41-B7EC-08016868A732}" name="TradeID"/>
    <tableColumn id="2" xr3:uid="{76FD4B7D-B7A9-4301-9985-DA8BC98B8253}" name="AccountID"/>
    <tableColumn id="3" xr3:uid="{9195B2E7-A1DC-4F68-BCFE-F436A5F42CF9}" name="Pair"/>
    <tableColumn id="4" xr3:uid="{640A7DC7-1688-480E-89F1-0C1DF4CF8DDC}" name="Session"/>
    <tableColumn id="5" xr3:uid="{003D0FE2-16A7-4C56-A80C-17A9CD790A0F}" name="Direction"/>
    <tableColumn id="6" xr3:uid="{9196FB82-D35E-4156-BFCE-F69F992A7299}" name="Profit"/>
    <tableColumn id="7" xr3:uid="{86776ACD-4D39-428F-A446-A0957F0111A8}" name="R"/>
    <tableColumn id="8" xr3:uid="{011760A3-A9D1-4015-8D75-7EFE2A2FEB20}" name="Risk Status"/>
    <tableColumn id="9" xr3:uid="{8E6DF200-182D-483A-8ED0-12101EFECD0F}" name="Profit per R"/>
    <tableColumn id="10" xr3:uid="{BB6361CF-CAA7-4423-9C5D-82E0E0F6DBCD}" name="Result"/>
    <tableColumn id="11" xr3:uid="{420DB1BF-4073-4932-87BC-11D2FECAB843}" name="TradeDat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EB144A-984A-4FCF-892A-EB44514BDE51}" name="Table1" displayName="Table1" ref="A1:K101" totalsRowShown="0">
  <autoFilter ref="A1:K101" xr:uid="{E6EB144A-984A-4FCF-892A-EB44514BDE51}"/>
  <sortState xmlns:xlrd2="http://schemas.microsoft.com/office/spreadsheetml/2017/richdata2" ref="A2:K101">
    <sortCondition ref="C2:C101"/>
  </sortState>
  <tableColumns count="11">
    <tableColumn id="1" xr3:uid="{897A45A9-8A0C-47F0-BAC4-2FB84871975D}" name="TradeID"/>
    <tableColumn id="2" xr3:uid="{2DC41DFE-2253-40BF-A088-0B1563C0DC81}" name="AccountID"/>
    <tableColumn id="3" xr3:uid="{A49B41A0-B5A8-4D84-9946-EDB3CB5DDF8D}" name="Pair"/>
    <tableColumn id="4" xr3:uid="{D5134F04-2F4C-4397-8C5A-C13250A966D9}" name="Session"/>
    <tableColumn id="5" xr3:uid="{539426CC-F875-4D64-977A-05C6F1BCDBCD}" name="Direction"/>
    <tableColumn id="6" xr3:uid="{BFF7C4D2-29D9-4645-98DB-6FBF609AB80F}" name="Profit"/>
    <tableColumn id="7" xr3:uid="{CD8DBAA1-576E-4991-87E5-049F5C232A1F}" name="R"/>
    <tableColumn id="13" xr3:uid="{5604F9D2-2C8F-4B63-9FB0-08636A1FD8D3}" name="Risk Status" dataDxfId="12">
      <calculatedColumnFormula>IF(OR(Table1[[#This Row],[R]]&gt;=2,Table1[[#This Row],[Profit]]&gt;500),"GOOD","REVIEW")</calculatedColumnFormula>
    </tableColumn>
    <tableColumn id="14" xr3:uid="{4778648E-2E5E-4C3F-BBFA-07AD84B520D7}" name="Profit per R" dataDxfId="11">
      <calculatedColumnFormula>IFERROR(Table1[[#This Row],[Profit]]/Table1[[#This Row],[R]],"0")</calculatedColumnFormula>
    </tableColumn>
    <tableColumn id="8" xr3:uid="{CC96218F-2F0A-46BB-98E4-8AE8218DB3D7}" name="Result"/>
    <tableColumn id="9" xr3:uid="{33DFF7EB-37F8-4413-89B2-47AF0ABF1AB0}" name="TradeDate" dataDxfId="1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80782B-FEC2-415C-8A49-51730C483074}" name="Table2" displayName="Table2" ref="F8:I13" totalsRowShown="0">
  <autoFilter ref="F8:I13" xr:uid="{5280782B-FEC2-415C-8A49-51730C483074}"/>
  <tableColumns count="4">
    <tableColumn id="1" xr3:uid="{DAF88BD0-F115-4C64-AE11-7DD8AB7505A7}" name="Pair"/>
    <tableColumn id="2" xr3:uid="{89E35073-D474-496E-86E0-7646DF314B64}" name="Profit"/>
    <tableColumn id="3" xr3:uid="{D53F66F4-7509-4885-B440-8C48CF492C8C}" name="Clean Space" dataDxfId="9">
      <calculatedColumnFormula>TRIM(Table2[[#This Row],[Pair]])</calculatedColumnFormula>
    </tableColumn>
    <tableColumn id="4" xr3:uid="{8C11A028-E104-4984-B143-1E828A3E1EC5}" name="check trim" dataDxfId="8">
      <calculatedColumnFormula>IF(Table2[[#This Row],[Pair]]=Table2[[#This Row],[Clean Space]],"GOOD","NADFO")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9A2C5F-61E0-444B-907C-487860A13E40}" name="Table4" displayName="Table4" ref="K8:L12" totalsRowShown="0">
  <autoFilter ref="K8:L12" xr:uid="{A99A2C5F-61E0-444B-907C-487860A13E40}"/>
  <tableColumns count="2">
    <tableColumn id="1" xr3:uid="{0A321640-D79C-4135-83F6-E38913427047}" name="raw text"/>
    <tableColumn id="2" xr3:uid="{AFAFC69E-5221-4C5C-BCDC-FA9796537B90}" name="text" dataDxfId="7">
      <calculatedColumnFormula>PROPER(Table4[[#This Row],[raw text]])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76F3CB-3E9B-40EE-B5BA-0228DC3EBD7C}" name="Table3" displayName="Table3" ref="K16:M19" totalsRowShown="0">
  <autoFilter ref="K16:M19" xr:uid="{4576F3CB-3E9B-40EE-B5BA-0228DC3EBD7C}"/>
  <tableColumns count="3">
    <tableColumn id="1" xr3:uid="{3D4EC290-099D-468C-B78D-8A8F427D8214}" name="text num"/>
    <tableColumn id="2" xr3:uid="{8229FBAA-503A-4FA9-B868-506EDAF0BEB3}" name="convert" dataDxfId="6">
      <calculatedColumnFormula>VALUE(Table3[[#This Row],[text num]])</calculatedColumnFormula>
    </tableColumn>
    <tableColumn id="3" xr3:uid="{A32329F0-3CAE-4B77-9C4A-66E55F5E38EA}" name="check" dataDxfId="5">
      <calculatedColumnFormula>ISNUMBER(Table3[[#This Row],[text num]])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84F1F2-066B-4F54-888C-872719B32047}" name="Table5" displayName="Table5" ref="Q17:Q25" totalsRowShown="0" headerRowDxfId="4" dataDxfId="3">
  <autoFilter ref="Q17:Q25" xr:uid="{9284F1F2-066B-4F54-888C-872719B32047}"/>
  <tableColumns count="1">
    <tableColumn id="1" xr3:uid="{B868BDD4-CA52-440D-A1EA-1585934AF042}" name="Trade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068E-53F4-486C-916C-A193B94A4681}">
  <dimension ref="A1:K57"/>
  <sheetViews>
    <sheetView workbookViewId="0">
      <selection sqref="A1:K57"/>
    </sheetView>
  </sheetViews>
  <sheetFormatPr defaultRowHeight="14.4" x14ac:dyDescent="0.3"/>
  <cols>
    <col min="1" max="1" width="9.33203125" customWidth="1"/>
    <col min="2" max="2" width="11.44140625" customWidth="1"/>
    <col min="4" max="4" width="9.33203125" customWidth="1"/>
    <col min="5" max="5" width="10.5546875" customWidth="1"/>
    <col min="8" max="8" width="12.109375" customWidth="1"/>
    <col min="9" max="9" width="12" customWidth="1"/>
    <col min="11" max="11" width="11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7</v>
      </c>
      <c r="K1" t="s">
        <v>8</v>
      </c>
    </row>
    <row r="2" spans="1:11" x14ac:dyDescent="0.3">
      <c r="A2">
        <v>16</v>
      </c>
      <c r="B2">
        <v>10006</v>
      </c>
      <c r="C2" t="s">
        <v>9</v>
      </c>
      <c r="D2" t="s">
        <v>10</v>
      </c>
      <c r="E2" t="s">
        <v>11</v>
      </c>
      <c r="F2">
        <v>500</v>
      </c>
      <c r="G2">
        <v>2</v>
      </c>
      <c r="H2" t="s">
        <v>70</v>
      </c>
      <c r="I2">
        <v>250</v>
      </c>
      <c r="J2" t="s">
        <v>12</v>
      </c>
      <c r="K2" s="1">
        <v>46168</v>
      </c>
    </row>
    <row r="3" spans="1:11" x14ac:dyDescent="0.3">
      <c r="A3">
        <v>78</v>
      </c>
      <c r="B3">
        <v>10001</v>
      </c>
      <c r="C3" t="s">
        <v>9</v>
      </c>
      <c r="D3" t="s">
        <v>10</v>
      </c>
      <c r="E3" t="s">
        <v>11</v>
      </c>
      <c r="F3">
        <v>500</v>
      </c>
      <c r="G3">
        <v>2</v>
      </c>
      <c r="H3" t="s">
        <v>70</v>
      </c>
      <c r="I3">
        <v>250</v>
      </c>
      <c r="J3" t="s">
        <v>12</v>
      </c>
      <c r="K3" s="1">
        <v>46182</v>
      </c>
    </row>
    <row r="4" spans="1:11" x14ac:dyDescent="0.3">
      <c r="A4">
        <v>35</v>
      </c>
      <c r="B4">
        <v>10005</v>
      </c>
      <c r="C4" t="s">
        <v>9</v>
      </c>
      <c r="D4" t="s">
        <v>10</v>
      </c>
      <c r="E4" t="s">
        <v>14</v>
      </c>
      <c r="F4">
        <v>375</v>
      </c>
      <c r="G4">
        <v>1.5</v>
      </c>
      <c r="H4" t="s">
        <v>71</v>
      </c>
      <c r="I4">
        <v>250</v>
      </c>
      <c r="J4" t="s">
        <v>12</v>
      </c>
      <c r="K4" s="1">
        <v>46041</v>
      </c>
    </row>
    <row r="5" spans="1:11" x14ac:dyDescent="0.3">
      <c r="A5">
        <v>45</v>
      </c>
      <c r="B5">
        <v>10003</v>
      </c>
      <c r="C5" t="s">
        <v>9</v>
      </c>
      <c r="D5" t="s">
        <v>10</v>
      </c>
      <c r="E5" t="s">
        <v>14</v>
      </c>
      <c r="F5">
        <v>375</v>
      </c>
      <c r="G5">
        <v>1.5</v>
      </c>
      <c r="H5" t="s">
        <v>71</v>
      </c>
      <c r="I5">
        <v>250</v>
      </c>
      <c r="J5" t="s">
        <v>12</v>
      </c>
      <c r="K5" s="1">
        <v>46055</v>
      </c>
    </row>
    <row r="6" spans="1:11" x14ac:dyDescent="0.3">
      <c r="A6">
        <v>43</v>
      </c>
      <c r="B6">
        <v>10003</v>
      </c>
      <c r="C6" t="s">
        <v>9</v>
      </c>
      <c r="D6" t="s">
        <v>10</v>
      </c>
      <c r="E6" t="s">
        <v>11</v>
      </c>
      <c r="F6">
        <v>200</v>
      </c>
      <c r="G6">
        <v>2</v>
      </c>
      <c r="H6" t="s">
        <v>70</v>
      </c>
      <c r="I6">
        <v>100</v>
      </c>
      <c r="J6" t="s">
        <v>12</v>
      </c>
      <c r="K6" s="1">
        <v>46091</v>
      </c>
    </row>
    <row r="7" spans="1:11" x14ac:dyDescent="0.3">
      <c r="A7">
        <v>77</v>
      </c>
      <c r="B7">
        <v>10006</v>
      </c>
      <c r="C7" t="s">
        <v>9</v>
      </c>
      <c r="D7" t="s">
        <v>10</v>
      </c>
      <c r="E7" t="s">
        <v>11</v>
      </c>
      <c r="F7">
        <v>200</v>
      </c>
      <c r="G7">
        <v>2</v>
      </c>
      <c r="H7" t="s">
        <v>70</v>
      </c>
      <c r="I7">
        <v>100</v>
      </c>
      <c r="J7" t="s">
        <v>12</v>
      </c>
      <c r="K7" s="1">
        <v>46198</v>
      </c>
    </row>
    <row r="8" spans="1:11" x14ac:dyDescent="0.3">
      <c r="A8">
        <v>99</v>
      </c>
      <c r="B8">
        <v>10006</v>
      </c>
      <c r="C8" t="s">
        <v>9</v>
      </c>
      <c r="D8" t="s">
        <v>10</v>
      </c>
      <c r="E8" t="s">
        <v>11</v>
      </c>
      <c r="F8">
        <v>125</v>
      </c>
      <c r="G8">
        <v>2.5</v>
      </c>
      <c r="H8" t="s">
        <v>70</v>
      </c>
      <c r="I8">
        <v>50</v>
      </c>
      <c r="J8" t="s">
        <v>12</v>
      </c>
      <c r="K8" s="1">
        <v>46101</v>
      </c>
    </row>
    <row r="9" spans="1:11" x14ac:dyDescent="0.3">
      <c r="A9">
        <v>97</v>
      </c>
      <c r="B9">
        <v>10006</v>
      </c>
      <c r="C9" t="s">
        <v>9</v>
      </c>
      <c r="D9" t="s">
        <v>10</v>
      </c>
      <c r="E9" t="s">
        <v>14</v>
      </c>
      <c r="F9">
        <v>100</v>
      </c>
      <c r="G9">
        <v>1</v>
      </c>
      <c r="H9" t="s">
        <v>71</v>
      </c>
      <c r="I9">
        <v>100</v>
      </c>
      <c r="J9" t="s">
        <v>12</v>
      </c>
      <c r="K9" s="1">
        <v>46172</v>
      </c>
    </row>
    <row r="10" spans="1:11" x14ac:dyDescent="0.3">
      <c r="A10">
        <v>1</v>
      </c>
      <c r="B10">
        <v>10002</v>
      </c>
      <c r="C10" t="s">
        <v>9</v>
      </c>
      <c r="D10" t="s">
        <v>10</v>
      </c>
      <c r="E10" t="s">
        <v>11</v>
      </c>
      <c r="F10">
        <v>50</v>
      </c>
      <c r="G10">
        <v>1</v>
      </c>
      <c r="H10" t="s">
        <v>71</v>
      </c>
      <c r="I10">
        <v>50</v>
      </c>
      <c r="J10" t="s">
        <v>12</v>
      </c>
      <c r="K10" s="1">
        <v>46190</v>
      </c>
    </row>
    <row r="11" spans="1:11" x14ac:dyDescent="0.3">
      <c r="A11">
        <v>38</v>
      </c>
      <c r="B11">
        <v>10005</v>
      </c>
      <c r="C11" t="s">
        <v>9</v>
      </c>
      <c r="D11" t="s">
        <v>10</v>
      </c>
      <c r="E11" t="s">
        <v>11</v>
      </c>
      <c r="F11">
        <v>-25</v>
      </c>
      <c r="G11">
        <v>-0.5</v>
      </c>
      <c r="H11" t="s">
        <v>71</v>
      </c>
      <c r="I11">
        <v>50</v>
      </c>
      <c r="J11" t="s">
        <v>17</v>
      </c>
      <c r="K11" s="1">
        <v>46107</v>
      </c>
    </row>
    <row r="12" spans="1:11" x14ac:dyDescent="0.3">
      <c r="A12">
        <v>30</v>
      </c>
      <c r="B12">
        <v>10001</v>
      </c>
      <c r="C12" t="s">
        <v>9</v>
      </c>
      <c r="D12" t="s">
        <v>10</v>
      </c>
      <c r="E12" t="s">
        <v>14</v>
      </c>
      <c r="F12">
        <v>-50</v>
      </c>
      <c r="G12">
        <v>-0.5</v>
      </c>
      <c r="H12" t="s">
        <v>71</v>
      </c>
      <c r="I12">
        <v>100</v>
      </c>
      <c r="J12" t="s">
        <v>17</v>
      </c>
      <c r="K12" s="1">
        <v>46167</v>
      </c>
    </row>
    <row r="13" spans="1:11" x14ac:dyDescent="0.3">
      <c r="A13">
        <v>86</v>
      </c>
      <c r="B13">
        <v>10002</v>
      </c>
      <c r="C13" t="s">
        <v>9</v>
      </c>
      <c r="D13" t="s">
        <v>10</v>
      </c>
      <c r="E13" t="s">
        <v>14</v>
      </c>
      <c r="F13">
        <v>-100</v>
      </c>
      <c r="G13">
        <v>-1</v>
      </c>
      <c r="H13" t="s">
        <v>71</v>
      </c>
      <c r="I13">
        <v>100</v>
      </c>
      <c r="J13" t="s">
        <v>17</v>
      </c>
      <c r="K13" s="1">
        <v>46169</v>
      </c>
    </row>
    <row r="14" spans="1:11" x14ac:dyDescent="0.3">
      <c r="A14">
        <v>61</v>
      </c>
      <c r="B14">
        <v>10005</v>
      </c>
      <c r="C14" t="s">
        <v>9</v>
      </c>
      <c r="D14" t="s">
        <v>10</v>
      </c>
      <c r="E14" t="s">
        <v>11</v>
      </c>
      <c r="F14">
        <v>-125</v>
      </c>
      <c r="G14">
        <v>-0.5</v>
      </c>
      <c r="H14" t="s">
        <v>71</v>
      </c>
      <c r="I14">
        <v>250</v>
      </c>
      <c r="J14" t="s">
        <v>17</v>
      </c>
      <c r="K14" s="1">
        <v>46033</v>
      </c>
    </row>
    <row r="15" spans="1:11" x14ac:dyDescent="0.3">
      <c r="A15">
        <v>34</v>
      </c>
      <c r="B15">
        <v>10005</v>
      </c>
      <c r="C15" t="s">
        <v>9</v>
      </c>
      <c r="D15" t="s">
        <v>10</v>
      </c>
      <c r="E15" t="s">
        <v>11</v>
      </c>
      <c r="F15">
        <v>-150</v>
      </c>
      <c r="G15">
        <v>-1.5</v>
      </c>
      <c r="H15" t="s">
        <v>71</v>
      </c>
      <c r="I15">
        <v>100</v>
      </c>
      <c r="J15" t="s">
        <v>17</v>
      </c>
      <c r="K15" s="1">
        <v>46107</v>
      </c>
    </row>
    <row r="16" spans="1:11" x14ac:dyDescent="0.3">
      <c r="A16">
        <v>13</v>
      </c>
      <c r="B16">
        <v>10006</v>
      </c>
      <c r="C16" t="s">
        <v>15</v>
      </c>
      <c r="D16" t="s">
        <v>10</v>
      </c>
      <c r="E16" t="s">
        <v>11</v>
      </c>
      <c r="F16">
        <v>750</v>
      </c>
      <c r="G16">
        <v>3</v>
      </c>
      <c r="H16" t="s">
        <v>70</v>
      </c>
      <c r="I16">
        <v>250</v>
      </c>
      <c r="J16" t="s">
        <v>12</v>
      </c>
      <c r="K16" s="1">
        <v>46094</v>
      </c>
    </row>
    <row r="17" spans="1:11" x14ac:dyDescent="0.3">
      <c r="A17">
        <v>98</v>
      </c>
      <c r="B17">
        <v>10001</v>
      </c>
      <c r="C17" t="s">
        <v>15</v>
      </c>
      <c r="D17" t="s">
        <v>10</v>
      </c>
      <c r="E17" t="s">
        <v>14</v>
      </c>
      <c r="F17">
        <v>750</v>
      </c>
      <c r="G17">
        <v>3</v>
      </c>
      <c r="H17" t="s">
        <v>70</v>
      </c>
      <c r="I17">
        <v>250</v>
      </c>
      <c r="J17" t="s">
        <v>12</v>
      </c>
      <c r="K17" s="1">
        <v>46088</v>
      </c>
    </row>
    <row r="18" spans="1:11" x14ac:dyDescent="0.3">
      <c r="A18">
        <v>68</v>
      </c>
      <c r="B18">
        <v>10004</v>
      </c>
      <c r="C18" t="s">
        <v>15</v>
      </c>
      <c r="D18" t="s">
        <v>10</v>
      </c>
      <c r="E18" t="s">
        <v>11</v>
      </c>
      <c r="F18">
        <v>625</v>
      </c>
      <c r="G18">
        <v>2.5</v>
      </c>
      <c r="H18" t="s">
        <v>70</v>
      </c>
      <c r="I18">
        <v>250</v>
      </c>
      <c r="J18" t="s">
        <v>12</v>
      </c>
      <c r="K18" s="1">
        <v>46207</v>
      </c>
    </row>
    <row r="19" spans="1:11" x14ac:dyDescent="0.3">
      <c r="A19">
        <v>76</v>
      </c>
      <c r="B19">
        <v>10005</v>
      </c>
      <c r="C19" t="s">
        <v>15</v>
      </c>
      <c r="D19" t="s">
        <v>10</v>
      </c>
      <c r="E19" t="s">
        <v>14</v>
      </c>
      <c r="F19">
        <v>375</v>
      </c>
      <c r="G19">
        <v>1.5</v>
      </c>
      <c r="H19" t="s">
        <v>71</v>
      </c>
      <c r="I19">
        <v>250</v>
      </c>
      <c r="J19" t="s">
        <v>12</v>
      </c>
      <c r="K19" s="1">
        <v>46034</v>
      </c>
    </row>
    <row r="20" spans="1:11" x14ac:dyDescent="0.3">
      <c r="A20">
        <v>10</v>
      </c>
      <c r="B20">
        <v>10004</v>
      </c>
      <c r="C20" t="s">
        <v>15</v>
      </c>
      <c r="D20" t="s">
        <v>10</v>
      </c>
      <c r="E20" t="s">
        <v>14</v>
      </c>
      <c r="F20">
        <v>300</v>
      </c>
      <c r="G20">
        <v>3</v>
      </c>
      <c r="H20" t="s">
        <v>70</v>
      </c>
      <c r="I20">
        <v>100</v>
      </c>
      <c r="J20" t="s">
        <v>12</v>
      </c>
      <c r="K20" s="1">
        <v>46182</v>
      </c>
    </row>
    <row r="21" spans="1:11" x14ac:dyDescent="0.3">
      <c r="A21">
        <v>23</v>
      </c>
      <c r="B21">
        <v>10003</v>
      </c>
      <c r="C21" t="s">
        <v>15</v>
      </c>
      <c r="D21" t="s">
        <v>10</v>
      </c>
      <c r="E21" t="s">
        <v>14</v>
      </c>
      <c r="F21">
        <v>300</v>
      </c>
      <c r="G21">
        <v>3</v>
      </c>
      <c r="H21" t="s">
        <v>70</v>
      </c>
      <c r="I21">
        <v>100</v>
      </c>
      <c r="J21" t="s">
        <v>12</v>
      </c>
      <c r="K21" s="1">
        <v>46057</v>
      </c>
    </row>
    <row r="22" spans="1:11" x14ac:dyDescent="0.3">
      <c r="A22">
        <v>63</v>
      </c>
      <c r="B22">
        <v>10001</v>
      </c>
      <c r="C22" t="s">
        <v>15</v>
      </c>
      <c r="D22" t="s">
        <v>10</v>
      </c>
      <c r="E22" t="s">
        <v>11</v>
      </c>
      <c r="F22">
        <v>250</v>
      </c>
      <c r="G22">
        <v>1</v>
      </c>
      <c r="H22" t="s">
        <v>71</v>
      </c>
      <c r="I22">
        <v>250</v>
      </c>
      <c r="J22" t="s">
        <v>12</v>
      </c>
      <c r="K22" s="1">
        <v>46135</v>
      </c>
    </row>
    <row r="23" spans="1:11" x14ac:dyDescent="0.3">
      <c r="A23">
        <v>7</v>
      </c>
      <c r="B23">
        <v>10006</v>
      </c>
      <c r="C23" t="s">
        <v>15</v>
      </c>
      <c r="D23" t="s">
        <v>10</v>
      </c>
      <c r="E23" t="s">
        <v>14</v>
      </c>
      <c r="F23">
        <v>100</v>
      </c>
      <c r="G23">
        <v>2</v>
      </c>
      <c r="H23" t="s">
        <v>70</v>
      </c>
      <c r="I23">
        <v>50</v>
      </c>
      <c r="J23" t="s">
        <v>12</v>
      </c>
      <c r="K23" s="1">
        <v>46174</v>
      </c>
    </row>
    <row r="24" spans="1:11" x14ac:dyDescent="0.3">
      <c r="A24">
        <v>20</v>
      </c>
      <c r="B24">
        <v>10006</v>
      </c>
      <c r="C24" t="s">
        <v>15</v>
      </c>
      <c r="D24" t="s">
        <v>10</v>
      </c>
      <c r="E24" t="s">
        <v>14</v>
      </c>
      <c r="F24">
        <v>100</v>
      </c>
      <c r="G24">
        <v>1</v>
      </c>
      <c r="H24" t="s">
        <v>71</v>
      </c>
      <c r="I24">
        <v>100</v>
      </c>
      <c r="J24" t="s">
        <v>12</v>
      </c>
      <c r="K24" s="1">
        <v>46041</v>
      </c>
    </row>
    <row r="25" spans="1:11" x14ac:dyDescent="0.3">
      <c r="A25">
        <v>24</v>
      </c>
      <c r="B25">
        <v>10006</v>
      </c>
      <c r="C25" t="s">
        <v>15</v>
      </c>
      <c r="D25" t="s">
        <v>10</v>
      </c>
      <c r="E25" t="s">
        <v>14</v>
      </c>
      <c r="F25">
        <v>-25</v>
      </c>
      <c r="G25">
        <v>-0.5</v>
      </c>
      <c r="H25" t="s">
        <v>71</v>
      </c>
      <c r="I25">
        <v>50</v>
      </c>
      <c r="J25" t="s">
        <v>17</v>
      </c>
      <c r="K25" s="1">
        <v>46177</v>
      </c>
    </row>
    <row r="26" spans="1:11" x14ac:dyDescent="0.3">
      <c r="A26">
        <v>14</v>
      </c>
      <c r="B26">
        <v>10001</v>
      </c>
      <c r="C26" t="s">
        <v>15</v>
      </c>
      <c r="D26" t="s">
        <v>10</v>
      </c>
      <c r="E26" t="s">
        <v>11</v>
      </c>
      <c r="F26">
        <v>-50</v>
      </c>
      <c r="G26">
        <v>-0.5</v>
      </c>
      <c r="H26" t="s">
        <v>71</v>
      </c>
      <c r="I26">
        <v>100</v>
      </c>
      <c r="J26" t="s">
        <v>17</v>
      </c>
      <c r="K26" s="1">
        <v>46119</v>
      </c>
    </row>
    <row r="27" spans="1:11" x14ac:dyDescent="0.3">
      <c r="A27">
        <v>49</v>
      </c>
      <c r="B27">
        <v>10001</v>
      </c>
      <c r="C27" t="s">
        <v>15</v>
      </c>
      <c r="D27" t="s">
        <v>10</v>
      </c>
      <c r="E27" t="s">
        <v>11</v>
      </c>
      <c r="F27">
        <v>-50</v>
      </c>
      <c r="G27">
        <v>-0.5</v>
      </c>
      <c r="H27" t="s">
        <v>71</v>
      </c>
      <c r="I27">
        <v>100</v>
      </c>
      <c r="J27" t="s">
        <v>17</v>
      </c>
      <c r="K27" s="1">
        <v>46095</v>
      </c>
    </row>
    <row r="28" spans="1:11" x14ac:dyDescent="0.3">
      <c r="A28">
        <v>79</v>
      </c>
      <c r="B28">
        <v>10001</v>
      </c>
      <c r="C28" t="s">
        <v>15</v>
      </c>
      <c r="D28" t="s">
        <v>10</v>
      </c>
      <c r="E28" t="s">
        <v>14</v>
      </c>
      <c r="F28">
        <v>-50</v>
      </c>
      <c r="G28">
        <v>-1</v>
      </c>
      <c r="H28" t="s">
        <v>71</v>
      </c>
      <c r="I28">
        <v>50</v>
      </c>
      <c r="J28" t="s">
        <v>17</v>
      </c>
      <c r="K28" s="1">
        <v>46128</v>
      </c>
    </row>
    <row r="29" spans="1:11" x14ac:dyDescent="0.3">
      <c r="A29">
        <v>36</v>
      </c>
      <c r="B29">
        <v>10004</v>
      </c>
      <c r="C29" t="s">
        <v>15</v>
      </c>
      <c r="D29" t="s">
        <v>10</v>
      </c>
      <c r="E29" t="s">
        <v>14</v>
      </c>
      <c r="F29">
        <v>-300</v>
      </c>
      <c r="G29">
        <v>-1.5</v>
      </c>
      <c r="H29" t="s">
        <v>71</v>
      </c>
      <c r="I29">
        <v>200</v>
      </c>
      <c r="J29" t="s">
        <v>17</v>
      </c>
      <c r="K29" s="1">
        <v>46057</v>
      </c>
    </row>
    <row r="30" spans="1:11" x14ac:dyDescent="0.3">
      <c r="A30">
        <v>82</v>
      </c>
      <c r="B30">
        <v>10005</v>
      </c>
      <c r="C30" t="s">
        <v>13</v>
      </c>
      <c r="D30" t="s">
        <v>10</v>
      </c>
      <c r="E30" t="s">
        <v>11</v>
      </c>
      <c r="F30">
        <v>-375</v>
      </c>
      <c r="G30">
        <v>-1.5</v>
      </c>
      <c r="H30" t="s">
        <v>71</v>
      </c>
      <c r="I30">
        <v>250</v>
      </c>
      <c r="J30" t="s">
        <v>17</v>
      </c>
      <c r="K30" s="1">
        <v>46066</v>
      </c>
    </row>
    <row r="31" spans="1:11" x14ac:dyDescent="0.3">
      <c r="A31">
        <v>5</v>
      </c>
      <c r="B31">
        <v>10003</v>
      </c>
      <c r="C31" t="s">
        <v>13</v>
      </c>
      <c r="D31" t="s">
        <v>10</v>
      </c>
      <c r="E31" t="s">
        <v>11</v>
      </c>
      <c r="F31">
        <v>-125</v>
      </c>
      <c r="G31">
        <v>-0.5</v>
      </c>
      <c r="H31" t="s">
        <v>71</v>
      </c>
      <c r="I31">
        <v>250</v>
      </c>
      <c r="J31" t="s">
        <v>17</v>
      </c>
      <c r="K31" s="1">
        <v>46050</v>
      </c>
    </row>
    <row r="32" spans="1:11" x14ac:dyDescent="0.3">
      <c r="A32">
        <v>48</v>
      </c>
      <c r="B32">
        <v>10006</v>
      </c>
      <c r="C32" t="s">
        <v>13</v>
      </c>
      <c r="D32" t="s">
        <v>10</v>
      </c>
      <c r="E32" t="s">
        <v>14</v>
      </c>
      <c r="F32">
        <v>-100</v>
      </c>
      <c r="G32">
        <v>-1</v>
      </c>
      <c r="H32" t="s">
        <v>71</v>
      </c>
      <c r="I32">
        <v>100</v>
      </c>
      <c r="J32" t="s">
        <v>17</v>
      </c>
      <c r="K32" s="1">
        <v>46072</v>
      </c>
    </row>
    <row r="33" spans="1:11" x14ac:dyDescent="0.3">
      <c r="A33">
        <v>21</v>
      </c>
      <c r="B33">
        <v>10005</v>
      </c>
      <c r="C33" t="s">
        <v>13</v>
      </c>
      <c r="D33" t="s">
        <v>10</v>
      </c>
      <c r="E33" t="s">
        <v>11</v>
      </c>
      <c r="F33">
        <v>-100</v>
      </c>
      <c r="G33">
        <v>-1</v>
      </c>
      <c r="H33" t="s">
        <v>71</v>
      </c>
      <c r="I33">
        <v>100</v>
      </c>
      <c r="J33" t="s">
        <v>17</v>
      </c>
      <c r="K33" s="1">
        <v>46059</v>
      </c>
    </row>
    <row r="34" spans="1:11" x14ac:dyDescent="0.3">
      <c r="A34">
        <v>17</v>
      </c>
      <c r="B34">
        <v>10005</v>
      </c>
      <c r="C34" t="s">
        <v>13</v>
      </c>
      <c r="D34" t="s">
        <v>10</v>
      </c>
      <c r="E34" t="s">
        <v>11</v>
      </c>
      <c r="F34">
        <v>-75</v>
      </c>
      <c r="G34">
        <v>-1.5</v>
      </c>
      <c r="H34" t="s">
        <v>71</v>
      </c>
      <c r="I34">
        <v>50</v>
      </c>
      <c r="J34" t="s">
        <v>17</v>
      </c>
      <c r="K34" s="1">
        <v>46067</v>
      </c>
    </row>
    <row r="35" spans="1:11" x14ac:dyDescent="0.3">
      <c r="A35">
        <v>75</v>
      </c>
      <c r="B35">
        <v>10003</v>
      </c>
      <c r="C35" t="s">
        <v>13</v>
      </c>
      <c r="D35" t="s">
        <v>10</v>
      </c>
      <c r="E35" t="s">
        <v>14</v>
      </c>
      <c r="F35">
        <v>50</v>
      </c>
      <c r="G35">
        <v>1</v>
      </c>
      <c r="H35" t="s">
        <v>71</v>
      </c>
      <c r="I35">
        <v>50</v>
      </c>
      <c r="J35" t="s">
        <v>12</v>
      </c>
      <c r="K35" s="1">
        <v>46047</v>
      </c>
    </row>
    <row r="36" spans="1:11" x14ac:dyDescent="0.3">
      <c r="A36">
        <v>72</v>
      </c>
      <c r="B36">
        <v>10004</v>
      </c>
      <c r="C36" t="s">
        <v>13</v>
      </c>
      <c r="D36" t="s">
        <v>10</v>
      </c>
      <c r="E36" t="s">
        <v>14</v>
      </c>
      <c r="F36">
        <v>50</v>
      </c>
      <c r="G36">
        <v>1</v>
      </c>
      <c r="H36" t="s">
        <v>71</v>
      </c>
      <c r="I36">
        <v>50</v>
      </c>
      <c r="J36" t="s">
        <v>12</v>
      </c>
      <c r="K36" s="1">
        <v>46069</v>
      </c>
    </row>
    <row r="37" spans="1:11" x14ac:dyDescent="0.3">
      <c r="A37">
        <v>94</v>
      </c>
      <c r="B37">
        <v>10004</v>
      </c>
      <c r="C37" t="s">
        <v>13</v>
      </c>
      <c r="D37" t="s">
        <v>10</v>
      </c>
      <c r="E37" t="s">
        <v>14</v>
      </c>
      <c r="F37">
        <v>150</v>
      </c>
      <c r="G37">
        <v>3</v>
      </c>
      <c r="H37" t="s">
        <v>70</v>
      </c>
      <c r="I37">
        <v>50</v>
      </c>
      <c r="J37" t="s">
        <v>12</v>
      </c>
      <c r="K37" s="1">
        <v>46091</v>
      </c>
    </row>
    <row r="38" spans="1:11" x14ac:dyDescent="0.3">
      <c r="A38">
        <v>2</v>
      </c>
      <c r="B38">
        <v>10001</v>
      </c>
      <c r="C38" t="s">
        <v>13</v>
      </c>
      <c r="D38" t="s">
        <v>10</v>
      </c>
      <c r="E38" t="s">
        <v>14</v>
      </c>
      <c r="F38">
        <v>150</v>
      </c>
      <c r="G38">
        <v>3</v>
      </c>
      <c r="H38" t="s">
        <v>70</v>
      </c>
      <c r="I38">
        <v>50</v>
      </c>
      <c r="J38" t="s">
        <v>12</v>
      </c>
      <c r="K38" s="1">
        <v>46178</v>
      </c>
    </row>
    <row r="39" spans="1:11" x14ac:dyDescent="0.3">
      <c r="A39">
        <v>66</v>
      </c>
      <c r="B39">
        <v>10004</v>
      </c>
      <c r="C39" t="s">
        <v>13</v>
      </c>
      <c r="D39" t="s">
        <v>10</v>
      </c>
      <c r="E39" t="s">
        <v>11</v>
      </c>
      <c r="F39">
        <v>200</v>
      </c>
      <c r="G39">
        <v>2</v>
      </c>
      <c r="H39" t="s">
        <v>70</v>
      </c>
      <c r="I39">
        <v>100</v>
      </c>
      <c r="J39" t="s">
        <v>12</v>
      </c>
      <c r="K39" s="1">
        <v>46160</v>
      </c>
    </row>
    <row r="40" spans="1:11" x14ac:dyDescent="0.3">
      <c r="A40">
        <v>59</v>
      </c>
      <c r="B40">
        <v>10006</v>
      </c>
      <c r="C40" t="s">
        <v>13</v>
      </c>
      <c r="D40" t="s">
        <v>10</v>
      </c>
      <c r="E40" t="s">
        <v>11</v>
      </c>
      <c r="F40">
        <v>200</v>
      </c>
      <c r="G40">
        <v>1</v>
      </c>
      <c r="H40" t="s">
        <v>71</v>
      </c>
      <c r="I40">
        <v>200</v>
      </c>
      <c r="J40" t="s">
        <v>12</v>
      </c>
      <c r="K40" s="1">
        <v>46140</v>
      </c>
    </row>
    <row r="41" spans="1:11" x14ac:dyDescent="0.3">
      <c r="A41">
        <v>55</v>
      </c>
      <c r="B41">
        <v>10005</v>
      </c>
      <c r="C41" t="s">
        <v>13</v>
      </c>
      <c r="D41" t="s">
        <v>10</v>
      </c>
      <c r="E41" t="s">
        <v>11</v>
      </c>
      <c r="F41">
        <v>200</v>
      </c>
      <c r="G41">
        <v>1</v>
      </c>
      <c r="H41" t="s">
        <v>71</v>
      </c>
      <c r="I41">
        <v>200</v>
      </c>
      <c r="J41" t="s">
        <v>12</v>
      </c>
      <c r="K41" s="1">
        <v>46120</v>
      </c>
    </row>
    <row r="42" spans="1:11" x14ac:dyDescent="0.3">
      <c r="A42">
        <v>26</v>
      </c>
      <c r="B42">
        <v>10004</v>
      </c>
      <c r="C42" t="s">
        <v>13</v>
      </c>
      <c r="D42" t="s">
        <v>10</v>
      </c>
      <c r="E42" t="s">
        <v>11</v>
      </c>
      <c r="F42">
        <v>250</v>
      </c>
      <c r="G42">
        <v>1</v>
      </c>
      <c r="H42" t="s">
        <v>71</v>
      </c>
      <c r="I42">
        <v>250</v>
      </c>
      <c r="J42" t="s">
        <v>12</v>
      </c>
      <c r="K42" s="1">
        <v>46173</v>
      </c>
    </row>
    <row r="43" spans="1:11" x14ac:dyDescent="0.3">
      <c r="A43">
        <v>65</v>
      </c>
      <c r="B43">
        <v>10004</v>
      </c>
      <c r="C43" t="s">
        <v>13</v>
      </c>
      <c r="D43" t="s">
        <v>10</v>
      </c>
      <c r="E43" t="s">
        <v>11</v>
      </c>
      <c r="F43">
        <v>300</v>
      </c>
      <c r="G43">
        <v>1.5</v>
      </c>
      <c r="H43" t="s">
        <v>71</v>
      </c>
      <c r="I43">
        <v>200</v>
      </c>
      <c r="J43" t="s">
        <v>12</v>
      </c>
      <c r="K43" s="1">
        <v>46167</v>
      </c>
    </row>
    <row r="44" spans="1:11" x14ac:dyDescent="0.3">
      <c r="A44">
        <v>73</v>
      </c>
      <c r="B44">
        <v>10002</v>
      </c>
      <c r="C44" t="s">
        <v>13</v>
      </c>
      <c r="D44" t="s">
        <v>10</v>
      </c>
      <c r="E44" t="s">
        <v>11</v>
      </c>
      <c r="F44">
        <v>500</v>
      </c>
      <c r="G44">
        <v>2.5</v>
      </c>
      <c r="H44" t="s">
        <v>70</v>
      </c>
      <c r="I44">
        <v>200</v>
      </c>
      <c r="J44" t="s">
        <v>12</v>
      </c>
      <c r="K44" s="1">
        <v>46191</v>
      </c>
    </row>
    <row r="45" spans="1:11" x14ac:dyDescent="0.3">
      <c r="A45">
        <v>58</v>
      </c>
      <c r="B45">
        <v>10005</v>
      </c>
      <c r="C45" t="s">
        <v>18</v>
      </c>
      <c r="D45" t="s">
        <v>10</v>
      </c>
      <c r="E45" t="s">
        <v>11</v>
      </c>
      <c r="F45">
        <v>-250</v>
      </c>
      <c r="G45">
        <v>-1</v>
      </c>
      <c r="H45" t="s">
        <v>71</v>
      </c>
      <c r="I45">
        <v>250</v>
      </c>
      <c r="J45" t="s">
        <v>17</v>
      </c>
      <c r="K45" s="1">
        <v>46104</v>
      </c>
    </row>
    <row r="46" spans="1:11" x14ac:dyDescent="0.3">
      <c r="A46">
        <v>42</v>
      </c>
      <c r="B46">
        <v>10002</v>
      </c>
      <c r="C46" t="s">
        <v>18</v>
      </c>
      <c r="D46" t="s">
        <v>10</v>
      </c>
      <c r="E46" t="s">
        <v>11</v>
      </c>
      <c r="F46">
        <v>-250</v>
      </c>
      <c r="G46">
        <v>-1</v>
      </c>
      <c r="H46" t="s">
        <v>71</v>
      </c>
      <c r="I46">
        <v>250</v>
      </c>
      <c r="J46" t="s">
        <v>17</v>
      </c>
      <c r="K46" s="1">
        <v>46096</v>
      </c>
    </row>
    <row r="47" spans="1:11" x14ac:dyDescent="0.3">
      <c r="A47">
        <v>51</v>
      </c>
      <c r="B47">
        <v>10003</v>
      </c>
      <c r="C47" t="s">
        <v>18</v>
      </c>
      <c r="D47" t="s">
        <v>10</v>
      </c>
      <c r="E47" t="s">
        <v>11</v>
      </c>
      <c r="F47">
        <v>-200</v>
      </c>
      <c r="G47">
        <v>-1</v>
      </c>
      <c r="H47" t="s">
        <v>71</v>
      </c>
      <c r="I47">
        <v>200</v>
      </c>
      <c r="J47" t="s">
        <v>17</v>
      </c>
      <c r="K47" s="1">
        <v>46111</v>
      </c>
    </row>
    <row r="48" spans="1:11" x14ac:dyDescent="0.3">
      <c r="A48">
        <v>11</v>
      </c>
      <c r="B48">
        <v>10001</v>
      </c>
      <c r="C48" t="s">
        <v>18</v>
      </c>
      <c r="D48" t="s">
        <v>10</v>
      </c>
      <c r="E48" t="s">
        <v>14</v>
      </c>
      <c r="F48">
        <v>-200</v>
      </c>
      <c r="G48">
        <v>-1</v>
      </c>
      <c r="H48" t="s">
        <v>71</v>
      </c>
      <c r="I48">
        <v>200</v>
      </c>
      <c r="J48" t="s">
        <v>17</v>
      </c>
      <c r="K48" s="1">
        <v>46202</v>
      </c>
    </row>
    <row r="49" spans="1:11" x14ac:dyDescent="0.3">
      <c r="A49">
        <v>44</v>
      </c>
      <c r="B49">
        <v>10005</v>
      </c>
      <c r="C49" t="s">
        <v>18</v>
      </c>
      <c r="D49" t="s">
        <v>10</v>
      </c>
      <c r="E49" t="s">
        <v>11</v>
      </c>
      <c r="F49">
        <v>-75</v>
      </c>
      <c r="G49">
        <v>-1.5</v>
      </c>
      <c r="H49" t="s">
        <v>71</v>
      </c>
      <c r="I49">
        <v>50</v>
      </c>
      <c r="J49" t="s">
        <v>17</v>
      </c>
      <c r="K49" s="1">
        <v>46190</v>
      </c>
    </row>
    <row r="50" spans="1:11" x14ac:dyDescent="0.3">
      <c r="A50">
        <v>18</v>
      </c>
      <c r="B50">
        <v>10003</v>
      </c>
      <c r="C50" t="s">
        <v>18</v>
      </c>
      <c r="D50" t="s">
        <v>10</v>
      </c>
      <c r="E50" t="s">
        <v>14</v>
      </c>
      <c r="F50">
        <v>-75</v>
      </c>
      <c r="G50">
        <v>-1.5</v>
      </c>
      <c r="H50" t="s">
        <v>71</v>
      </c>
      <c r="I50">
        <v>50</v>
      </c>
      <c r="J50" t="s">
        <v>17</v>
      </c>
      <c r="K50" s="1">
        <v>46187</v>
      </c>
    </row>
    <row r="51" spans="1:11" x14ac:dyDescent="0.3">
      <c r="A51">
        <v>9</v>
      </c>
      <c r="B51">
        <v>10006</v>
      </c>
      <c r="C51" t="s">
        <v>18</v>
      </c>
      <c r="D51" t="s">
        <v>10</v>
      </c>
      <c r="E51" t="s">
        <v>11</v>
      </c>
      <c r="F51">
        <v>-75</v>
      </c>
      <c r="G51">
        <v>-1.5</v>
      </c>
      <c r="H51" t="s">
        <v>71</v>
      </c>
      <c r="I51">
        <v>50</v>
      </c>
      <c r="J51" t="s">
        <v>17</v>
      </c>
      <c r="K51" s="1">
        <v>46121</v>
      </c>
    </row>
    <row r="52" spans="1:11" x14ac:dyDescent="0.3">
      <c r="A52">
        <v>25</v>
      </c>
      <c r="B52">
        <v>10003</v>
      </c>
      <c r="C52" t="s">
        <v>18</v>
      </c>
      <c r="D52" t="s">
        <v>10</v>
      </c>
      <c r="E52" t="s">
        <v>14</v>
      </c>
      <c r="F52">
        <v>-50</v>
      </c>
      <c r="G52">
        <v>-0.5</v>
      </c>
      <c r="H52" t="s">
        <v>71</v>
      </c>
      <c r="I52">
        <v>100</v>
      </c>
      <c r="J52" t="s">
        <v>17</v>
      </c>
      <c r="K52" s="1">
        <v>46035</v>
      </c>
    </row>
    <row r="53" spans="1:11" x14ac:dyDescent="0.3">
      <c r="A53">
        <v>41</v>
      </c>
      <c r="B53">
        <v>10003</v>
      </c>
      <c r="C53" t="s">
        <v>18</v>
      </c>
      <c r="D53" t="s">
        <v>10</v>
      </c>
      <c r="E53" t="s">
        <v>14</v>
      </c>
      <c r="F53">
        <v>100</v>
      </c>
      <c r="G53">
        <v>1</v>
      </c>
      <c r="H53" t="s">
        <v>71</v>
      </c>
      <c r="I53">
        <v>100</v>
      </c>
      <c r="J53" t="s">
        <v>12</v>
      </c>
      <c r="K53" s="1">
        <v>46197</v>
      </c>
    </row>
    <row r="54" spans="1:11" x14ac:dyDescent="0.3">
      <c r="A54">
        <v>60</v>
      </c>
      <c r="B54">
        <v>10006</v>
      </c>
      <c r="C54" t="s">
        <v>18</v>
      </c>
      <c r="D54" t="s">
        <v>10</v>
      </c>
      <c r="E54" t="s">
        <v>14</v>
      </c>
      <c r="F54">
        <v>150</v>
      </c>
      <c r="G54">
        <v>1.5</v>
      </c>
      <c r="H54" t="s">
        <v>71</v>
      </c>
      <c r="I54">
        <v>100</v>
      </c>
      <c r="J54" t="s">
        <v>12</v>
      </c>
      <c r="K54" s="1">
        <v>46158</v>
      </c>
    </row>
    <row r="55" spans="1:11" x14ac:dyDescent="0.3">
      <c r="A55">
        <v>28</v>
      </c>
      <c r="B55">
        <v>10002</v>
      </c>
      <c r="C55" t="s">
        <v>18</v>
      </c>
      <c r="D55" t="s">
        <v>10</v>
      </c>
      <c r="E55" t="s">
        <v>14</v>
      </c>
      <c r="F55">
        <v>250</v>
      </c>
      <c r="G55">
        <v>2.5</v>
      </c>
      <c r="H55" t="s">
        <v>70</v>
      </c>
      <c r="I55">
        <v>100</v>
      </c>
      <c r="J55" t="s">
        <v>12</v>
      </c>
      <c r="K55" s="1">
        <v>46130</v>
      </c>
    </row>
    <row r="56" spans="1:11" x14ac:dyDescent="0.3">
      <c r="A56">
        <v>91</v>
      </c>
      <c r="B56">
        <v>10003</v>
      </c>
      <c r="C56" t="s">
        <v>18</v>
      </c>
      <c r="D56" t="s">
        <v>10</v>
      </c>
      <c r="E56" t="s">
        <v>14</v>
      </c>
      <c r="F56">
        <v>300</v>
      </c>
      <c r="G56">
        <v>1.5</v>
      </c>
      <c r="H56" t="s">
        <v>71</v>
      </c>
      <c r="I56">
        <v>200</v>
      </c>
      <c r="J56" t="s">
        <v>12</v>
      </c>
      <c r="K56" s="1">
        <v>46177</v>
      </c>
    </row>
    <row r="57" spans="1:11" x14ac:dyDescent="0.3">
      <c r="A57">
        <v>90</v>
      </c>
      <c r="B57">
        <v>10002</v>
      </c>
      <c r="C57" t="s">
        <v>18</v>
      </c>
      <c r="D57" t="s">
        <v>10</v>
      </c>
      <c r="E57" t="s">
        <v>14</v>
      </c>
      <c r="F57">
        <v>500</v>
      </c>
      <c r="G57">
        <v>2.5</v>
      </c>
      <c r="H57" t="s">
        <v>70</v>
      </c>
      <c r="I57">
        <v>200</v>
      </c>
      <c r="J57" t="s">
        <v>12</v>
      </c>
      <c r="K57" s="1">
        <v>46076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825E4-1794-42C9-9526-8A6F715B88C4}">
  <dimension ref="A1:C13"/>
  <sheetViews>
    <sheetView workbookViewId="0"/>
  </sheetViews>
  <sheetFormatPr defaultRowHeight="14.4" x14ac:dyDescent="0.3"/>
  <cols>
    <col min="1" max="1" width="15.33203125" bestFit="1" customWidth="1"/>
    <col min="2" max="2" width="5.88671875" bestFit="1" customWidth="1"/>
    <col min="3" max="3" width="7.88671875" bestFit="1" customWidth="1"/>
  </cols>
  <sheetData>
    <row r="1" spans="1:3" x14ac:dyDescent="0.3">
      <c r="A1" s="27" t="s">
        <v>97</v>
      </c>
    </row>
    <row r="2" spans="1:3" x14ac:dyDescent="0.3">
      <c r="A2" s="28" t="s">
        <v>98</v>
      </c>
      <c r="B2" s="28" t="s">
        <v>99</v>
      </c>
      <c r="C2" s="28" t="s">
        <v>100</v>
      </c>
    </row>
    <row r="3" spans="1:3" x14ac:dyDescent="0.3">
      <c r="A3">
        <v>1</v>
      </c>
      <c r="B3" t="s">
        <v>101</v>
      </c>
      <c r="C3" t="s">
        <v>102</v>
      </c>
    </row>
    <row r="5" spans="1:3" x14ac:dyDescent="0.3">
      <c r="A5" s="27" t="s">
        <v>103</v>
      </c>
    </row>
    <row r="6" spans="1:3" x14ac:dyDescent="0.3">
      <c r="A6" s="28" t="s">
        <v>98</v>
      </c>
      <c r="B6" s="28" t="s">
        <v>104</v>
      </c>
      <c r="C6" s="28" t="s">
        <v>100</v>
      </c>
    </row>
    <row r="9" spans="1:3" x14ac:dyDescent="0.3">
      <c r="A9" s="27" t="s">
        <v>105</v>
      </c>
      <c r="B9" t="s">
        <v>106</v>
      </c>
    </row>
    <row r="10" spans="1:3" x14ac:dyDescent="0.3">
      <c r="B10" t="s">
        <v>107</v>
      </c>
    </row>
    <row r="12" spans="1:3" x14ac:dyDescent="0.3">
      <c r="B12" t="s">
        <v>108</v>
      </c>
    </row>
    <row r="13" spans="1:3" x14ac:dyDescent="0.3">
      <c r="B13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ACAA-D0C9-4E0D-B6D1-3EF28EC79FD0}">
  <dimension ref="A1:C13"/>
  <sheetViews>
    <sheetView workbookViewId="0"/>
  </sheetViews>
  <sheetFormatPr defaultRowHeight="14.4" x14ac:dyDescent="0.3"/>
  <cols>
    <col min="1" max="1" width="15.33203125" bestFit="1" customWidth="1"/>
    <col min="2" max="2" width="5.88671875" bestFit="1" customWidth="1"/>
    <col min="3" max="3" width="7.88671875" bestFit="1" customWidth="1"/>
  </cols>
  <sheetData>
    <row r="1" spans="1:3" x14ac:dyDescent="0.3">
      <c r="A1" s="27"/>
    </row>
    <row r="2" spans="1:3" x14ac:dyDescent="0.3">
      <c r="A2" s="28" t="s">
        <v>98</v>
      </c>
      <c r="B2" s="28" t="s">
        <v>99</v>
      </c>
      <c r="C2" s="28" t="s">
        <v>100</v>
      </c>
    </row>
    <row r="3" spans="1:3" x14ac:dyDescent="0.3">
      <c r="A3">
        <v>1</v>
      </c>
      <c r="B3" t="s">
        <v>101</v>
      </c>
      <c r="C3" t="s">
        <v>102</v>
      </c>
    </row>
    <row r="5" spans="1:3" x14ac:dyDescent="0.3">
      <c r="A5" s="27" t="s">
        <v>103</v>
      </c>
    </row>
    <row r="6" spans="1:3" x14ac:dyDescent="0.3">
      <c r="A6" s="28" t="s">
        <v>98</v>
      </c>
      <c r="B6" s="28" t="s">
        <v>104</v>
      </c>
      <c r="C6" s="28" t="s">
        <v>100</v>
      </c>
    </row>
    <row r="9" spans="1:3" x14ac:dyDescent="0.3">
      <c r="A9" s="27" t="s">
        <v>105</v>
      </c>
      <c r="B9" t="s">
        <v>106</v>
      </c>
    </row>
    <row r="10" spans="1:3" x14ac:dyDescent="0.3">
      <c r="B10" t="s">
        <v>107</v>
      </c>
    </row>
    <row r="12" spans="1:3" x14ac:dyDescent="0.3">
      <c r="B12" t="s">
        <v>108</v>
      </c>
    </row>
    <row r="13" spans="1:3" x14ac:dyDescent="0.3">
      <c r="B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60D7-0D73-4CE4-AFB9-0AF5F61FAEDB}">
  <dimension ref="A3:H10"/>
  <sheetViews>
    <sheetView zoomScale="110" zoomScaleNormal="110" workbookViewId="0">
      <selection activeCell="K10" sqref="K10"/>
    </sheetView>
  </sheetViews>
  <sheetFormatPr defaultRowHeight="14.4" x14ac:dyDescent="0.3"/>
  <cols>
    <col min="1" max="1" width="13.77734375" bestFit="1" customWidth="1"/>
    <col min="2" max="2" width="14.5546875" bestFit="1" customWidth="1"/>
    <col min="3" max="3" width="5" bestFit="1" customWidth="1"/>
    <col min="4" max="4" width="11.6640625" bestFit="1" customWidth="1"/>
    <col min="5" max="5" width="10.6640625" bestFit="1" customWidth="1"/>
    <col min="6" max="6" width="5" bestFit="1" customWidth="1"/>
    <col min="7" max="7" width="13.44140625" bestFit="1" customWidth="1"/>
    <col min="8" max="8" width="10.6640625" bestFit="1" customWidth="1"/>
    <col min="9" max="9" width="12.33203125" bestFit="1" customWidth="1"/>
    <col min="10" max="10" width="11.77734375" bestFit="1" customWidth="1"/>
    <col min="11" max="11" width="12.33203125" bestFit="1" customWidth="1"/>
    <col min="12" max="12" width="20.33203125" bestFit="1" customWidth="1"/>
    <col min="13" max="13" width="20.88671875" bestFit="1" customWidth="1"/>
    <col min="14" max="14" width="16.21875" bestFit="1" customWidth="1"/>
    <col min="15" max="15" width="16.88671875" bestFit="1" customWidth="1"/>
  </cols>
  <sheetData>
    <row r="3" spans="1:8" x14ac:dyDescent="0.3">
      <c r="A3" s="19" t="s">
        <v>78</v>
      </c>
      <c r="B3" s="19" t="s">
        <v>68</v>
      </c>
    </row>
    <row r="4" spans="1:8" x14ac:dyDescent="0.3">
      <c r="B4" t="s">
        <v>10</v>
      </c>
      <c r="D4" t="s">
        <v>79</v>
      </c>
      <c r="E4" t="s">
        <v>16</v>
      </c>
      <c r="G4" t="s">
        <v>80</v>
      </c>
      <c r="H4" t="s">
        <v>67</v>
      </c>
    </row>
    <row r="5" spans="1:8" x14ac:dyDescent="0.3">
      <c r="A5" s="19" t="s">
        <v>69</v>
      </c>
      <c r="B5" t="s">
        <v>17</v>
      </c>
      <c r="C5" t="s">
        <v>12</v>
      </c>
      <c r="E5" t="s">
        <v>17</v>
      </c>
      <c r="F5" t="s">
        <v>12</v>
      </c>
    </row>
    <row r="6" spans="1:8" x14ac:dyDescent="0.3">
      <c r="A6" s="20" t="s">
        <v>9</v>
      </c>
      <c r="B6" s="22">
        <v>-450</v>
      </c>
      <c r="C6" s="22">
        <v>2425</v>
      </c>
      <c r="D6" s="22">
        <v>1975</v>
      </c>
      <c r="E6" s="22">
        <v>-350</v>
      </c>
      <c r="F6" s="22">
        <v>1275</v>
      </c>
      <c r="G6" s="22">
        <v>925</v>
      </c>
      <c r="H6" s="22">
        <v>2900</v>
      </c>
    </row>
    <row r="7" spans="1:8" x14ac:dyDescent="0.3">
      <c r="A7" s="20" t="s">
        <v>15</v>
      </c>
      <c r="B7" s="22">
        <v>-475</v>
      </c>
      <c r="C7" s="22">
        <v>3550</v>
      </c>
      <c r="D7" s="22">
        <v>3075</v>
      </c>
      <c r="E7" s="22">
        <v>-675</v>
      </c>
      <c r="F7" s="22">
        <v>4425</v>
      </c>
      <c r="G7" s="22">
        <v>3750</v>
      </c>
      <c r="H7" s="22">
        <v>6825</v>
      </c>
    </row>
    <row r="8" spans="1:8" x14ac:dyDescent="0.3">
      <c r="A8" s="20" t="s">
        <v>13</v>
      </c>
      <c r="B8" s="22">
        <v>-775</v>
      </c>
      <c r="C8" s="22">
        <v>2050</v>
      </c>
      <c r="D8" s="22">
        <v>1275</v>
      </c>
      <c r="E8" s="22">
        <v>-1250</v>
      </c>
      <c r="F8" s="22">
        <v>1900</v>
      </c>
      <c r="G8" s="22">
        <v>650</v>
      </c>
      <c r="H8" s="22">
        <v>1925</v>
      </c>
    </row>
    <row r="9" spans="1:8" x14ac:dyDescent="0.3">
      <c r="A9" s="20" t="s">
        <v>18</v>
      </c>
      <c r="B9" s="22">
        <v>-1175</v>
      </c>
      <c r="C9" s="22">
        <v>1300</v>
      </c>
      <c r="D9" s="22">
        <v>125</v>
      </c>
      <c r="E9" s="22">
        <v>-250</v>
      </c>
      <c r="F9" s="22">
        <v>700</v>
      </c>
      <c r="G9" s="22">
        <v>450</v>
      </c>
      <c r="H9" s="22">
        <v>575</v>
      </c>
    </row>
    <row r="10" spans="1:8" x14ac:dyDescent="0.3">
      <c r="A10" s="20" t="s">
        <v>67</v>
      </c>
      <c r="B10" s="21">
        <v>-2875</v>
      </c>
      <c r="C10" s="21">
        <v>9325</v>
      </c>
      <c r="D10" s="21">
        <v>6450</v>
      </c>
      <c r="E10" s="21">
        <v>-2525</v>
      </c>
      <c r="F10" s="21">
        <v>8300</v>
      </c>
      <c r="G10" s="21">
        <v>5775</v>
      </c>
      <c r="H10" s="21">
        <v>12225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DF93-3E77-4DA9-9925-C234221B379B}">
  <dimension ref="B5:N38"/>
  <sheetViews>
    <sheetView topLeftCell="B10" workbookViewId="0">
      <selection activeCell="C41" sqref="C41"/>
    </sheetView>
  </sheetViews>
  <sheetFormatPr defaultRowHeight="14.4" x14ac:dyDescent="0.3"/>
  <cols>
    <col min="2" max="2" width="28.88671875" customWidth="1"/>
    <col min="3" max="3" width="16.77734375" bestFit="1" customWidth="1"/>
    <col min="4" max="4" width="18.21875" bestFit="1" customWidth="1"/>
    <col min="5" max="5" width="14.109375" bestFit="1" customWidth="1"/>
    <col min="6" max="6" width="15.6640625" bestFit="1" customWidth="1"/>
    <col min="7" max="7" width="11.5546875" customWidth="1"/>
    <col min="8" max="8" width="11.77734375" customWidth="1"/>
    <col min="9" max="9" width="12.6640625" customWidth="1"/>
    <col min="10" max="10" width="19.6640625" customWidth="1"/>
    <col min="11" max="11" width="19.44140625" customWidth="1"/>
    <col min="12" max="12" width="15.44140625" bestFit="1" customWidth="1"/>
    <col min="14" max="14" width="19.44140625" customWidth="1"/>
  </cols>
  <sheetData>
    <row r="5" spans="3:14" x14ac:dyDescent="0.3">
      <c r="C5" s="3" t="s">
        <v>19</v>
      </c>
      <c r="D5" s="2">
        <f>COUNT(Table1[TradeID])</f>
        <v>100</v>
      </c>
    </row>
    <row r="6" spans="3:14" x14ac:dyDescent="0.3">
      <c r="C6" s="3" t="s">
        <v>20</v>
      </c>
      <c r="D6" s="2">
        <f>SUM(Table1[Profit])</f>
        <v>12225</v>
      </c>
    </row>
    <row r="7" spans="3:14" x14ac:dyDescent="0.3">
      <c r="C7" s="3" t="s">
        <v>21</v>
      </c>
      <c r="D7" s="2">
        <f>AVERAGE(Table1[Profit])</f>
        <v>122.25</v>
      </c>
    </row>
    <row r="8" spans="3:14" x14ac:dyDescent="0.3">
      <c r="C8" s="3" t="s">
        <v>22</v>
      </c>
      <c r="D8" s="2">
        <f>MAX(Table1[Profit])</f>
        <v>750</v>
      </c>
    </row>
    <row r="9" spans="3:14" x14ac:dyDescent="0.3">
      <c r="C9" s="3" t="s">
        <v>23</v>
      </c>
      <c r="D9" s="2">
        <f>MIN(Table1[Profit])</f>
        <v>-375</v>
      </c>
    </row>
    <row r="10" spans="3:14" x14ac:dyDescent="0.3">
      <c r="C10" s="3" t="s">
        <v>24</v>
      </c>
      <c r="D10" s="2">
        <f>COUNTIF(Table1[Result],"Win")</f>
        <v>59</v>
      </c>
    </row>
    <row r="11" spans="3:14" x14ac:dyDescent="0.3">
      <c r="C11" s="3" t="s">
        <v>25</v>
      </c>
      <c r="D11" s="2">
        <f>COUNTIF(Table1[Result],"Loss")</f>
        <v>41</v>
      </c>
    </row>
    <row r="12" spans="3:14" x14ac:dyDescent="0.3">
      <c r="C12" s="3" t="s">
        <v>26</v>
      </c>
      <c r="D12" s="2">
        <f>D10/D5</f>
        <v>0.59</v>
      </c>
    </row>
    <row r="14" spans="3:14" x14ac:dyDescent="0.3">
      <c r="C14" s="3" t="s">
        <v>27</v>
      </c>
      <c r="D14" s="3" t="s">
        <v>19</v>
      </c>
      <c r="E14" s="3" t="s">
        <v>20</v>
      </c>
      <c r="F14" s="3" t="s">
        <v>28</v>
      </c>
      <c r="G14" s="3" t="s">
        <v>29</v>
      </c>
      <c r="H14" s="3" t="s">
        <v>26</v>
      </c>
      <c r="I14" s="3" t="s">
        <v>30</v>
      </c>
      <c r="J14" s="3" t="s">
        <v>31</v>
      </c>
      <c r="K14" s="3" t="s">
        <v>33</v>
      </c>
      <c r="L14" s="3" t="s">
        <v>32</v>
      </c>
      <c r="M14" s="3" t="s">
        <v>34</v>
      </c>
      <c r="N14" s="9" t="s">
        <v>35</v>
      </c>
    </row>
    <row r="15" spans="3:14" x14ac:dyDescent="0.3">
      <c r="C15" s="3" t="s">
        <v>15</v>
      </c>
      <c r="D15" s="2">
        <f>COUNTIF(Table1[Pair],C15)</f>
        <v>33</v>
      </c>
      <c r="E15" s="4">
        <f>SUMIF(Table1[Pair],C15,Table1[Profit])</f>
        <v>6825</v>
      </c>
      <c r="F15" s="5">
        <f>AVERAGEIF(Table1[Pair],C15,Table1[Profit])</f>
        <v>206.81818181818181</v>
      </c>
      <c r="G15" s="2">
        <f>COUNTIFS(Table1[Pair],C15,Table1[Result],"Win")</f>
        <v>23</v>
      </c>
      <c r="H15" s="6">
        <f>G15/D15</f>
        <v>0.69696969696969702</v>
      </c>
      <c r="I15" s="2">
        <f>COUNTIFS(Table1[Pair],C15,Table1[Result],"Loss")</f>
        <v>10</v>
      </c>
      <c r="J15" s="8">
        <f>E15/$D$6</f>
        <v>0.55828220858895705</v>
      </c>
      <c r="K15" s="2">
        <f>AVERAGEIFS(Table1[Profit],Table1[Pair],C15,Table1[Result],"Win")</f>
        <v>346.73913043478262</v>
      </c>
      <c r="L15" s="2">
        <f>AVERAGEIFS(Table1[Profit],Table1[Pair],C15,Table1[Result],"Loss")</f>
        <v>-115</v>
      </c>
      <c r="M15" s="2">
        <f>K15/ABS(L15)</f>
        <v>3.0151228733459359</v>
      </c>
      <c r="N15">
        <f>(H15*K15)+(100-H15*L15)</f>
        <v>421.81818181818187</v>
      </c>
    </row>
    <row r="16" spans="3:14" x14ac:dyDescent="0.3">
      <c r="C16" s="3" t="s">
        <v>9</v>
      </c>
      <c r="D16" s="2">
        <f>COUNTIF(Table1[Pair],C16)</f>
        <v>22</v>
      </c>
      <c r="E16" s="4">
        <f>SUMIF(Table1[Pair],C16,Table1[Profit])</f>
        <v>2900</v>
      </c>
      <c r="F16" s="5">
        <f>AVERAGEIF(Table1[Pair],C16,Table1[Profit])</f>
        <v>131.81818181818181</v>
      </c>
      <c r="G16" s="2">
        <f>COUNTIFS(Table1[Pair],C16,Table1[Result],"Win")</f>
        <v>12</v>
      </c>
      <c r="H16" s="6">
        <f>G16/D16</f>
        <v>0.54545454545454541</v>
      </c>
      <c r="I16" s="2">
        <f>COUNTIFS(Table1[Pair],C16,Table1[Result],"Loss")</f>
        <v>10</v>
      </c>
      <c r="J16" s="8">
        <f>E16/$D$6</f>
        <v>0.23721881390593047</v>
      </c>
      <c r="K16" s="2">
        <f>AVERAGEIFS(Table1[Profit],Table1[Pair],C16,Table1[Result],"Win")</f>
        <v>308.33333333333331</v>
      </c>
      <c r="L16" s="2">
        <f>AVERAGEIFS(Table1[Profit],Table1[Pair],C16,Table1[Result],"Loss")</f>
        <v>-80</v>
      </c>
      <c r="M16" s="2">
        <f t="shared" ref="M16:M18" si="0">K16/ABS(L16)</f>
        <v>3.8541666666666665</v>
      </c>
      <c r="N16">
        <f t="shared" ref="N16:N18" si="1">(H16*K16)+(100-H16*L16)</f>
        <v>311.81818181818176</v>
      </c>
    </row>
    <row r="17" spans="2:14" x14ac:dyDescent="0.3">
      <c r="C17" s="3" t="s">
        <v>13</v>
      </c>
      <c r="D17" s="2">
        <f>COUNTIF(Table1[Pair],C17)</f>
        <v>27</v>
      </c>
      <c r="E17" s="4">
        <f>SUMIF(Table1[Pair],C17,Table1[Profit])</f>
        <v>1925</v>
      </c>
      <c r="F17" s="5">
        <f>AVERAGEIF(Table1[Pair],C17,Table1[Profit])</f>
        <v>71.296296296296291</v>
      </c>
      <c r="G17" s="2">
        <f>COUNTIFS(Table1[Pair],C17,Table1[Result],"Win")</f>
        <v>16</v>
      </c>
      <c r="H17" s="6">
        <f>G17/D17</f>
        <v>0.59259259259259256</v>
      </c>
      <c r="I17" s="2">
        <f>COUNTIFS(Table1[Pair],C17,Table1[Result],"Loss")</f>
        <v>11</v>
      </c>
      <c r="J17" s="8">
        <f>E17/$D$6</f>
        <v>0.15746421267893659</v>
      </c>
      <c r="K17" s="2">
        <f>AVERAGEIFS(Table1[Profit],Table1[Pair],C17,Table1[Result],"Win")</f>
        <v>246.875</v>
      </c>
      <c r="L17" s="2">
        <f>AVERAGEIFS(Table1[Profit],Table1[Pair],C17,Table1[Result],"Loss")</f>
        <v>-184.09090909090909</v>
      </c>
      <c r="M17" s="2">
        <f t="shared" si="0"/>
        <v>1.3410493827160495</v>
      </c>
      <c r="N17">
        <f t="shared" si="1"/>
        <v>355.38720538720537</v>
      </c>
    </row>
    <row r="18" spans="2:14" x14ac:dyDescent="0.3">
      <c r="C18" s="3" t="s">
        <v>18</v>
      </c>
      <c r="D18" s="2">
        <f>COUNTIF(Table1[Pair],C18)</f>
        <v>18</v>
      </c>
      <c r="E18" s="4">
        <f>SUMIF(Table1[Pair],C18,Table1[Profit])</f>
        <v>575</v>
      </c>
      <c r="F18" s="5">
        <f>AVERAGEIF(Table1[Pair],C18,Table1[Profit])</f>
        <v>31.944444444444443</v>
      </c>
      <c r="G18" s="2">
        <f>COUNTIFS(Table1[Pair],C18,Table1[Result],"Win")</f>
        <v>8</v>
      </c>
      <c r="H18" s="6">
        <f>G18/D18</f>
        <v>0.44444444444444442</v>
      </c>
      <c r="I18" s="2">
        <f>COUNTIFS(Table1[Pair],C18,Table1[Result],"Loss")</f>
        <v>10</v>
      </c>
      <c r="J18" s="8">
        <f>E18/$D$6</f>
        <v>4.7034764826175871E-2</v>
      </c>
      <c r="K18" s="2">
        <f>AVERAGEIFS(Table1[Profit],Table1[Pair],C18,Table1[Result],"Win")</f>
        <v>250</v>
      </c>
      <c r="L18" s="2">
        <f>AVERAGEIFS(Table1[Profit],Table1[Pair],C18,Table1[Result],"Loss")</f>
        <v>-142.5</v>
      </c>
      <c r="M18" s="2">
        <f t="shared" si="0"/>
        <v>1.7543859649122806</v>
      </c>
      <c r="N18">
        <f t="shared" si="1"/>
        <v>274.4444444444444</v>
      </c>
    </row>
    <row r="19" spans="2:14" x14ac:dyDescent="0.3">
      <c r="I19" s="7"/>
    </row>
    <row r="21" spans="2:14" x14ac:dyDescent="0.3">
      <c r="B21" t="s">
        <v>39</v>
      </c>
      <c r="C21" s="12" t="s">
        <v>38</v>
      </c>
      <c r="D21" t="s">
        <v>40</v>
      </c>
      <c r="E21">
        <f>COUNT(Table1[R])</f>
        <v>100</v>
      </c>
    </row>
    <row r="22" spans="2:14" x14ac:dyDescent="0.3">
      <c r="B22" t="s">
        <v>5</v>
      </c>
      <c r="C22">
        <f>COUNTBLANK(Table1[Profit])</f>
        <v>0</v>
      </c>
    </row>
    <row r="23" spans="2:14" x14ac:dyDescent="0.3">
      <c r="B23" t="s">
        <v>0</v>
      </c>
      <c r="C23">
        <f>COUNTBLANK(Table1[TradeID])</f>
        <v>0</v>
      </c>
    </row>
    <row r="24" spans="2:14" x14ac:dyDescent="0.3">
      <c r="B24" t="s">
        <v>1</v>
      </c>
      <c r="C24">
        <f>COUNTBLANK(Table1[AccountID])</f>
        <v>0</v>
      </c>
    </row>
    <row r="25" spans="2:14" x14ac:dyDescent="0.3">
      <c r="B25" t="s">
        <v>2</v>
      </c>
      <c r="C25">
        <f>COUNTBLANK(Table1[Pair])</f>
        <v>0</v>
      </c>
    </row>
    <row r="26" spans="2:14" x14ac:dyDescent="0.3">
      <c r="B26" t="s">
        <v>3</v>
      </c>
      <c r="C26">
        <f>COUNTBLANK(Table1[Session])</f>
        <v>0</v>
      </c>
    </row>
    <row r="27" spans="2:14" x14ac:dyDescent="0.3">
      <c r="B27" t="s">
        <v>4</v>
      </c>
      <c r="C27">
        <f>COUNTBLANK(Table1[Direction])</f>
        <v>0</v>
      </c>
    </row>
    <row r="28" spans="2:14" x14ac:dyDescent="0.3">
      <c r="B28" t="s">
        <v>6</v>
      </c>
      <c r="C28">
        <f>COUNTBLANK(Table1[R])</f>
        <v>0</v>
      </c>
    </row>
    <row r="29" spans="2:14" x14ac:dyDescent="0.3">
      <c r="B29" t="s">
        <v>7</v>
      </c>
      <c r="C29">
        <f>COUNTBLANK(Table1[Result])</f>
        <v>0</v>
      </c>
    </row>
    <row r="30" spans="2:14" x14ac:dyDescent="0.3">
      <c r="B30" t="s">
        <v>8</v>
      </c>
      <c r="C30">
        <f>COUNTBLANK(Table1[TradeDate])</f>
        <v>0</v>
      </c>
    </row>
    <row r="34" spans="2:8" x14ac:dyDescent="0.3">
      <c r="B34" s="3" t="s">
        <v>27</v>
      </c>
      <c r="C34" s="3" t="s">
        <v>72</v>
      </c>
      <c r="D34" s="3" t="s">
        <v>73</v>
      </c>
      <c r="E34" s="3" t="s">
        <v>74</v>
      </c>
      <c r="F34" s="3" t="s">
        <v>75</v>
      </c>
      <c r="G34" s="3" t="s">
        <v>76</v>
      </c>
      <c r="H34" s="3" t="s">
        <v>77</v>
      </c>
    </row>
    <row r="35" spans="2:8" x14ac:dyDescent="0.3">
      <c r="B35" s="2" t="s">
        <v>9</v>
      </c>
      <c r="C35" s="6">
        <f>9/14</f>
        <v>0.6428571428571429</v>
      </c>
      <c r="D35" s="6">
        <f>3/8</f>
        <v>0.375</v>
      </c>
      <c r="E35" s="23">
        <v>141.07142857142858</v>
      </c>
      <c r="F35" s="23">
        <v>115.625</v>
      </c>
      <c r="G35" s="6"/>
      <c r="H35" s="6"/>
    </row>
    <row r="36" spans="2:8" x14ac:dyDescent="0.3">
      <c r="B36" s="2" t="s">
        <v>15</v>
      </c>
      <c r="C36" s="6">
        <f>9/14</f>
        <v>0.6428571428571429</v>
      </c>
      <c r="D36" s="6">
        <f>14/19</f>
        <v>0.73684210526315785</v>
      </c>
      <c r="E36" s="23">
        <v>219.64285714285714</v>
      </c>
      <c r="F36" s="23">
        <v>197.36842105263159</v>
      </c>
      <c r="G36" s="6"/>
      <c r="H36" s="6"/>
    </row>
    <row r="37" spans="2:8" x14ac:dyDescent="0.3">
      <c r="B37" s="2" t="s">
        <v>13</v>
      </c>
      <c r="C37" s="6">
        <f>10/15</f>
        <v>0.66666666666666663</v>
      </c>
      <c r="D37" s="6">
        <f>6/12</f>
        <v>0.5</v>
      </c>
      <c r="E37" s="23">
        <v>85</v>
      </c>
      <c r="F37" s="23">
        <v>54.166666666666664</v>
      </c>
      <c r="G37" s="6"/>
      <c r="H37" s="6"/>
    </row>
    <row r="38" spans="2:8" x14ac:dyDescent="0.3">
      <c r="B38" s="2" t="s">
        <v>18</v>
      </c>
      <c r="C38" s="6">
        <f>5/13</f>
        <v>0.38461538461538464</v>
      </c>
      <c r="D38" s="6">
        <f>3/5</f>
        <v>0.6</v>
      </c>
      <c r="E38" s="23">
        <v>9.615384615384615</v>
      </c>
      <c r="F38" s="23">
        <v>90</v>
      </c>
      <c r="G38" s="6"/>
      <c r="H38" s="6"/>
    </row>
  </sheetData>
  <sortState xmlns:xlrd2="http://schemas.microsoft.com/office/spreadsheetml/2017/richdata2" ref="C15:J18">
    <sortCondition descending="1" ref="E14:E18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58B5-1F80-4C49-9035-7A91F11B2092}">
  <dimension ref="A1:K101"/>
  <sheetViews>
    <sheetView tabSelected="1" workbookViewId="0">
      <selection activeCell="L10" sqref="L10"/>
    </sheetView>
  </sheetViews>
  <sheetFormatPr defaultRowHeight="14.4" x14ac:dyDescent="0.3"/>
  <cols>
    <col min="1" max="1" width="9.33203125" customWidth="1"/>
    <col min="2" max="2" width="11.44140625" customWidth="1"/>
    <col min="4" max="4" width="14" customWidth="1"/>
    <col min="5" max="5" width="10.5546875" customWidth="1"/>
    <col min="8" max="8" width="12.44140625" bestFit="1" customWidth="1"/>
    <col min="9" max="9" width="12.44140625" customWidth="1"/>
    <col min="11" max="11" width="19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</v>
      </c>
      <c r="I1" t="s">
        <v>37</v>
      </c>
      <c r="J1" t="s">
        <v>7</v>
      </c>
      <c r="K1" t="s">
        <v>8</v>
      </c>
    </row>
    <row r="2" spans="1:11" x14ac:dyDescent="0.3">
      <c r="A2">
        <v>6</v>
      </c>
      <c r="B2">
        <v>10005</v>
      </c>
      <c r="C2" t="s">
        <v>9</v>
      </c>
      <c r="D2" t="s">
        <v>16</v>
      </c>
      <c r="E2" t="s">
        <v>14</v>
      </c>
      <c r="F2">
        <v>600</v>
      </c>
      <c r="G2">
        <v>3</v>
      </c>
      <c r="H2" t="str">
        <f>IF(OR(Table1[[#This Row],[R]]&gt;=2,Table1[[#This Row],[Profit]]&gt;500),"GOOD","REVIEW")</f>
        <v>GOOD</v>
      </c>
      <c r="I2">
        <f>IFERROR(Table1[[#This Row],[Profit]]/Table1[[#This Row],[R]],"0")</f>
        <v>200</v>
      </c>
      <c r="J2" t="s">
        <v>12</v>
      </c>
      <c r="K2" s="1">
        <v>46164</v>
      </c>
    </row>
    <row r="3" spans="1:11" x14ac:dyDescent="0.3">
      <c r="A3">
        <v>80</v>
      </c>
      <c r="B3">
        <v>10006</v>
      </c>
      <c r="C3" t="s">
        <v>9</v>
      </c>
      <c r="D3" t="s">
        <v>16</v>
      </c>
      <c r="E3" t="s">
        <v>11</v>
      </c>
      <c r="F3">
        <v>600</v>
      </c>
      <c r="G3">
        <v>3</v>
      </c>
      <c r="H3" t="str">
        <f>IF(OR(Table1[[#This Row],[R]]&gt;=2,Table1[[#This Row],[Profit]]&gt;500),"GOOD","REVIEW")</f>
        <v>GOOD</v>
      </c>
      <c r="I3">
        <f>IFERROR(Table1[[#This Row],[Profit]]/Table1[[#This Row],[R]],"0")</f>
        <v>200</v>
      </c>
      <c r="J3" t="s">
        <v>12</v>
      </c>
      <c r="K3" s="1">
        <v>46171</v>
      </c>
    </row>
    <row r="4" spans="1:11" x14ac:dyDescent="0.3">
      <c r="A4">
        <v>16</v>
      </c>
      <c r="B4">
        <v>10006</v>
      </c>
      <c r="C4" t="s">
        <v>9</v>
      </c>
      <c r="D4" t="s">
        <v>10</v>
      </c>
      <c r="E4" t="s">
        <v>11</v>
      </c>
      <c r="F4">
        <v>500</v>
      </c>
      <c r="G4">
        <v>2</v>
      </c>
      <c r="H4" t="str">
        <f>IF(OR(Table1[[#This Row],[R]]&gt;=2,Table1[[#This Row],[Profit]]&gt;500),"GOOD","REVIEW")</f>
        <v>GOOD</v>
      </c>
      <c r="I4">
        <f>IFERROR(Table1[[#This Row],[Profit]]/Table1[[#This Row],[R]],"0")</f>
        <v>250</v>
      </c>
      <c r="J4" t="s">
        <v>12</v>
      </c>
      <c r="K4" s="1">
        <v>46168</v>
      </c>
    </row>
    <row r="5" spans="1:11" x14ac:dyDescent="0.3">
      <c r="A5">
        <v>78</v>
      </c>
      <c r="B5">
        <v>10001</v>
      </c>
      <c r="C5" t="s">
        <v>9</v>
      </c>
      <c r="D5" t="s">
        <v>10</v>
      </c>
      <c r="E5" t="s">
        <v>11</v>
      </c>
      <c r="F5">
        <v>500</v>
      </c>
      <c r="G5">
        <v>2</v>
      </c>
      <c r="H5" t="str">
        <f>IF(OR(Table1[[#This Row],[R]]&gt;=2,Table1[[#This Row],[Profit]]&gt;500),"GOOD","REVIEW")</f>
        <v>GOOD</v>
      </c>
      <c r="I5">
        <f>IFERROR(Table1[[#This Row],[Profit]]/Table1[[#This Row],[R]],"0")</f>
        <v>250</v>
      </c>
      <c r="J5" t="s">
        <v>12</v>
      </c>
      <c r="K5" s="1">
        <v>46182</v>
      </c>
    </row>
    <row r="6" spans="1:11" x14ac:dyDescent="0.3">
      <c r="A6">
        <v>35</v>
      </c>
      <c r="B6">
        <v>10005</v>
      </c>
      <c r="C6" t="s">
        <v>9</v>
      </c>
      <c r="D6" t="s">
        <v>10</v>
      </c>
      <c r="E6" t="s">
        <v>14</v>
      </c>
      <c r="F6">
        <v>375</v>
      </c>
      <c r="G6">
        <v>1.5</v>
      </c>
      <c r="H6" t="str">
        <f>IF(OR(Table1[[#This Row],[R]]&gt;=2,Table1[[#This Row],[Profit]]&gt;500),"GOOD","REVIEW")</f>
        <v>REVIEW</v>
      </c>
      <c r="I6">
        <f>IFERROR(Table1[[#This Row],[Profit]]/Table1[[#This Row],[R]],"0")</f>
        <v>250</v>
      </c>
      <c r="J6" t="s">
        <v>12</v>
      </c>
      <c r="K6" s="1">
        <v>46041</v>
      </c>
    </row>
    <row r="7" spans="1:11" x14ac:dyDescent="0.3">
      <c r="A7">
        <v>45</v>
      </c>
      <c r="B7">
        <v>10003</v>
      </c>
      <c r="C7" t="s">
        <v>9</v>
      </c>
      <c r="D7" t="s">
        <v>10</v>
      </c>
      <c r="E7" t="s">
        <v>14</v>
      </c>
      <c r="F7">
        <v>375</v>
      </c>
      <c r="G7">
        <v>1.5</v>
      </c>
      <c r="H7" t="str">
        <f>IF(OR(Table1[[#This Row],[R]]&gt;=2,Table1[[#This Row],[Profit]]&gt;500),"GOOD","REVIEW")</f>
        <v>REVIEW</v>
      </c>
      <c r="I7">
        <f>IFERROR(Table1[[#This Row],[Profit]]/Table1[[#This Row],[R]],"0")</f>
        <v>250</v>
      </c>
      <c r="J7" t="s">
        <v>12</v>
      </c>
      <c r="K7" s="1">
        <v>46055</v>
      </c>
    </row>
    <row r="8" spans="1:11" x14ac:dyDescent="0.3">
      <c r="A8">
        <v>43</v>
      </c>
      <c r="B8">
        <v>10003</v>
      </c>
      <c r="C8" t="s">
        <v>9</v>
      </c>
      <c r="D8" t="s">
        <v>10</v>
      </c>
      <c r="E8" t="s">
        <v>11</v>
      </c>
      <c r="F8">
        <v>200</v>
      </c>
      <c r="G8">
        <v>2</v>
      </c>
      <c r="H8" t="str">
        <f>IF(OR(Table1[[#This Row],[R]]&gt;=2,Table1[[#This Row],[Profit]]&gt;500),"GOOD","REVIEW")</f>
        <v>GOOD</v>
      </c>
      <c r="I8">
        <f>IFERROR(Table1[[#This Row],[Profit]]/Table1[[#This Row],[R]],"0")</f>
        <v>100</v>
      </c>
      <c r="J8" t="s">
        <v>12</v>
      </c>
      <c r="K8" s="1">
        <v>46091</v>
      </c>
    </row>
    <row r="9" spans="1:11" x14ac:dyDescent="0.3">
      <c r="A9">
        <v>77</v>
      </c>
      <c r="B9">
        <v>10006</v>
      </c>
      <c r="C9" t="s">
        <v>9</v>
      </c>
      <c r="D9" t="s">
        <v>10</v>
      </c>
      <c r="E9" t="s">
        <v>11</v>
      </c>
      <c r="F9">
        <v>200</v>
      </c>
      <c r="G9">
        <v>2</v>
      </c>
      <c r="H9" t="str">
        <f>IF(OR(Table1[[#This Row],[R]]&gt;=2,Table1[[#This Row],[Profit]]&gt;500),"GOOD","REVIEW")</f>
        <v>GOOD</v>
      </c>
      <c r="I9">
        <f>IFERROR(Table1[[#This Row],[Profit]]/Table1[[#This Row],[R]],"0")</f>
        <v>100</v>
      </c>
      <c r="J9" t="s">
        <v>12</v>
      </c>
      <c r="K9" s="1">
        <v>46198</v>
      </c>
    </row>
    <row r="10" spans="1:11" x14ac:dyDescent="0.3">
      <c r="A10">
        <v>99</v>
      </c>
      <c r="B10">
        <v>10006</v>
      </c>
      <c r="C10" t="s">
        <v>9</v>
      </c>
      <c r="D10" t="s">
        <v>10</v>
      </c>
      <c r="E10" t="s">
        <v>11</v>
      </c>
      <c r="F10">
        <v>125</v>
      </c>
      <c r="G10">
        <v>2.5</v>
      </c>
      <c r="H10" t="str">
        <f>IF(OR(Table1[[#This Row],[R]]&gt;=2,Table1[[#This Row],[Profit]]&gt;500),"GOOD","REVIEW")</f>
        <v>GOOD</v>
      </c>
      <c r="I10">
        <f>IFERROR(Table1[[#This Row],[Profit]]/Table1[[#This Row],[R]],"0")</f>
        <v>50</v>
      </c>
      <c r="J10" t="s">
        <v>12</v>
      </c>
      <c r="K10" s="1">
        <v>46101</v>
      </c>
    </row>
    <row r="11" spans="1:11" x14ac:dyDescent="0.3">
      <c r="A11">
        <v>97</v>
      </c>
      <c r="B11">
        <v>10006</v>
      </c>
      <c r="C11" t="s">
        <v>9</v>
      </c>
      <c r="D11" t="s">
        <v>10</v>
      </c>
      <c r="E11" t="s">
        <v>14</v>
      </c>
      <c r="F11">
        <v>100</v>
      </c>
      <c r="G11">
        <v>1</v>
      </c>
      <c r="H11" t="str">
        <f>IF(OR(Table1[[#This Row],[R]]&gt;=2,Table1[[#This Row],[Profit]]&gt;500),"GOOD","REVIEW")</f>
        <v>REVIEW</v>
      </c>
      <c r="I11">
        <f>IFERROR(Table1[[#This Row],[Profit]]/Table1[[#This Row],[R]],"0")</f>
        <v>100</v>
      </c>
      <c r="J11" t="s">
        <v>12</v>
      </c>
      <c r="K11" s="1">
        <v>46172</v>
      </c>
    </row>
    <row r="12" spans="1:11" x14ac:dyDescent="0.3">
      <c r="A12">
        <v>93</v>
      </c>
      <c r="B12">
        <v>10004</v>
      </c>
      <c r="C12" t="s">
        <v>9</v>
      </c>
      <c r="D12" t="s">
        <v>16</v>
      </c>
      <c r="E12" t="s">
        <v>11</v>
      </c>
      <c r="F12">
        <v>75</v>
      </c>
      <c r="G12">
        <v>1.5</v>
      </c>
      <c r="H12" t="str">
        <f>IF(OR(Table1[[#This Row],[R]]&gt;=2,Table1[[#This Row],[Profit]]&gt;500),"GOOD","REVIEW")</f>
        <v>REVIEW</v>
      </c>
      <c r="I12">
        <f>IFERROR(Table1[[#This Row],[Profit]]/Table1[[#This Row],[R]],"0")</f>
        <v>50</v>
      </c>
      <c r="J12" t="s">
        <v>12</v>
      </c>
      <c r="K12" s="1">
        <v>46053</v>
      </c>
    </row>
    <row r="13" spans="1:11" s="10" customFormat="1" x14ac:dyDescent="0.3">
      <c r="A13" s="10">
        <v>1</v>
      </c>
      <c r="B13" s="10">
        <v>10002</v>
      </c>
      <c r="C13" s="10" t="s">
        <v>9</v>
      </c>
      <c r="D13" s="10" t="s">
        <v>10</v>
      </c>
      <c r="E13" s="10" t="s">
        <v>11</v>
      </c>
      <c r="F13" s="10">
        <v>50</v>
      </c>
      <c r="G13" s="10">
        <v>1</v>
      </c>
      <c r="H13" s="10" t="str">
        <f>IF(OR(Table1[[#This Row],[R]]&gt;=2,Table1[[#This Row],[Profit]]&gt;500),"GOOD","REVIEW")</f>
        <v>REVIEW</v>
      </c>
      <c r="I13" s="10">
        <f>IFERROR(Table1[[#This Row],[Profit]]/Table1[[#This Row],[R]],"0")</f>
        <v>50</v>
      </c>
      <c r="J13" s="10" t="s">
        <v>12</v>
      </c>
      <c r="K13" s="11">
        <v>46190</v>
      </c>
    </row>
    <row r="14" spans="1:11" x14ac:dyDescent="0.3">
      <c r="A14">
        <v>38</v>
      </c>
      <c r="B14">
        <v>10005</v>
      </c>
      <c r="C14" t="s">
        <v>9</v>
      </c>
      <c r="D14" t="s">
        <v>10</v>
      </c>
      <c r="E14" t="s">
        <v>11</v>
      </c>
      <c r="F14">
        <v>-25</v>
      </c>
      <c r="G14">
        <v>-0.5</v>
      </c>
      <c r="H14" t="str">
        <f>IF(OR(Table1[[#This Row],[R]]&gt;=2,Table1[[#This Row],[Profit]]&gt;500),"GOOD","REVIEW")</f>
        <v>REVIEW</v>
      </c>
      <c r="I14">
        <f>IFERROR(Table1[[#This Row],[Profit]]/Table1[[#This Row],[R]],"0")</f>
        <v>50</v>
      </c>
      <c r="J14" t="s">
        <v>17</v>
      </c>
      <c r="K14" s="1">
        <v>46107</v>
      </c>
    </row>
    <row r="15" spans="1:11" x14ac:dyDescent="0.3">
      <c r="A15">
        <v>30</v>
      </c>
      <c r="B15">
        <v>10001</v>
      </c>
      <c r="C15" t="s">
        <v>9</v>
      </c>
      <c r="D15" t="s">
        <v>10</v>
      </c>
      <c r="E15" t="s">
        <v>14</v>
      </c>
      <c r="F15">
        <v>-50</v>
      </c>
      <c r="G15">
        <v>-0.5</v>
      </c>
      <c r="H15" t="str">
        <f>IF(OR(Table1[[#This Row],[R]]&gt;=2,Table1[[#This Row],[Profit]]&gt;500),"GOOD","REVIEW")</f>
        <v>REVIEW</v>
      </c>
      <c r="I15">
        <f>IFERROR(Table1[[#This Row],[Profit]]/Table1[[#This Row],[R]],"0")</f>
        <v>100</v>
      </c>
      <c r="J15" t="s">
        <v>17</v>
      </c>
      <c r="K15" s="1">
        <v>46167</v>
      </c>
    </row>
    <row r="16" spans="1:11" x14ac:dyDescent="0.3">
      <c r="A16">
        <v>46</v>
      </c>
      <c r="B16">
        <v>10001</v>
      </c>
      <c r="C16" t="s">
        <v>9</v>
      </c>
      <c r="D16" t="s">
        <v>16</v>
      </c>
      <c r="E16" t="s">
        <v>11</v>
      </c>
      <c r="F16">
        <v>-50</v>
      </c>
      <c r="G16">
        <v>-0.5</v>
      </c>
      <c r="H16" t="str">
        <f>IF(OR(Table1[[#This Row],[R]]&gt;=2,Table1[[#This Row],[Profit]]&gt;500),"GOOD","REVIEW")</f>
        <v>REVIEW</v>
      </c>
      <c r="I16">
        <f>IFERROR(Table1[[#This Row],[Profit]]/Table1[[#This Row],[R]],"0")</f>
        <v>100</v>
      </c>
      <c r="J16" t="s">
        <v>17</v>
      </c>
      <c r="K16" s="1">
        <v>46059</v>
      </c>
    </row>
    <row r="17" spans="1:11" x14ac:dyDescent="0.3">
      <c r="A17">
        <v>47</v>
      </c>
      <c r="B17">
        <v>10005</v>
      </c>
      <c r="C17" t="s">
        <v>9</v>
      </c>
      <c r="D17" t="s">
        <v>16</v>
      </c>
      <c r="E17" t="s">
        <v>11</v>
      </c>
      <c r="F17">
        <v>-50</v>
      </c>
      <c r="G17">
        <v>-0.5</v>
      </c>
      <c r="H17" t="str">
        <f>IF(OR(Table1[[#This Row],[R]]&gt;=2,Table1[[#This Row],[Profit]]&gt;500),"GOOD","REVIEW")</f>
        <v>REVIEW</v>
      </c>
      <c r="I17">
        <f>IFERROR(Table1[[#This Row],[Profit]]/Table1[[#This Row],[R]],"0")</f>
        <v>100</v>
      </c>
      <c r="J17" t="s">
        <v>17</v>
      </c>
      <c r="K17" s="1">
        <v>46197</v>
      </c>
    </row>
    <row r="18" spans="1:11" x14ac:dyDescent="0.3">
      <c r="A18">
        <v>52</v>
      </c>
      <c r="B18">
        <v>10005</v>
      </c>
      <c r="C18" t="s">
        <v>9</v>
      </c>
      <c r="D18" t="s">
        <v>16</v>
      </c>
      <c r="E18" t="s">
        <v>14</v>
      </c>
      <c r="F18">
        <v>-50</v>
      </c>
      <c r="G18">
        <v>-1</v>
      </c>
      <c r="H18" t="str">
        <f>IF(OR(Table1[[#This Row],[R]]&gt;=2,Table1[[#This Row],[Profit]]&gt;500),"GOOD","REVIEW")</f>
        <v>REVIEW</v>
      </c>
      <c r="I18">
        <f>IFERROR(Table1[[#This Row],[Profit]]/Table1[[#This Row],[R]],"0")</f>
        <v>50</v>
      </c>
      <c r="J18" t="s">
        <v>17</v>
      </c>
      <c r="K18" s="1">
        <v>46034</v>
      </c>
    </row>
    <row r="19" spans="1:11" x14ac:dyDescent="0.3">
      <c r="A19">
        <v>8</v>
      </c>
      <c r="B19">
        <v>10004</v>
      </c>
      <c r="C19" t="s">
        <v>9</v>
      </c>
      <c r="D19" t="s">
        <v>16</v>
      </c>
      <c r="E19" t="s">
        <v>11</v>
      </c>
      <c r="F19">
        <v>-100</v>
      </c>
      <c r="G19">
        <v>-1</v>
      </c>
      <c r="H19" t="str">
        <f>IF(OR(Table1[[#This Row],[R]]&gt;=2,Table1[[#This Row],[Profit]]&gt;500),"GOOD","REVIEW")</f>
        <v>REVIEW</v>
      </c>
      <c r="I19">
        <f>IFERROR(Table1[[#This Row],[Profit]]/Table1[[#This Row],[R]],"0")</f>
        <v>100</v>
      </c>
      <c r="J19" t="s">
        <v>17</v>
      </c>
      <c r="K19" s="1">
        <v>46086</v>
      </c>
    </row>
    <row r="20" spans="1:11" x14ac:dyDescent="0.3">
      <c r="A20">
        <v>70</v>
      </c>
      <c r="B20">
        <v>10004</v>
      </c>
      <c r="C20" t="s">
        <v>9</v>
      </c>
      <c r="D20" t="s">
        <v>16</v>
      </c>
      <c r="E20" t="s">
        <v>11</v>
      </c>
      <c r="F20">
        <v>-100</v>
      </c>
      <c r="G20">
        <v>-1</v>
      </c>
      <c r="H20" t="str">
        <f>IF(OR(Table1[[#This Row],[R]]&gt;=2,Table1[[#This Row],[Profit]]&gt;500),"GOOD","REVIEW")</f>
        <v>REVIEW</v>
      </c>
      <c r="I20">
        <f>IFERROR(Table1[[#This Row],[Profit]]/Table1[[#This Row],[R]],"0")</f>
        <v>100</v>
      </c>
      <c r="J20" t="s">
        <v>17</v>
      </c>
      <c r="K20" s="1">
        <v>46149</v>
      </c>
    </row>
    <row r="21" spans="1:11" x14ac:dyDescent="0.3">
      <c r="A21">
        <v>86</v>
      </c>
      <c r="B21">
        <v>10002</v>
      </c>
      <c r="C21" t="s">
        <v>9</v>
      </c>
      <c r="D21" t="s">
        <v>10</v>
      </c>
      <c r="E21" t="s">
        <v>14</v>
      </c>
      <c r="F21">
        <v>-100</v>
      </c>
      <c r="G21">
        <v>-1</v>
      </c>
      <c r="H21" t="str">
        <f>IF(OR(Table1[[#This Row],[R]]&gt;=2,Table1[[#This Row],[Profit]]&gt;500),"GOOD","REVIEW")</f>
        <v>REVIEW</v>
      </c>
      <c r="I21">
        <f>IFERROR(Table1[[#This Row],[Profit]]/Table1[[#This Row],[R]],"0")</f>
        <v>100</v>
      </c>
      <c r="J21" t="s">
        <v>17</v>
      </c>
      <c r="K21" s="1">
        <v>46169</v>
      </c>
    </row>
    <row r="22" spans="1:11" x14ac:dyDescent="0.3">
      <c r="A22">
        <v>61</v>
      </c>
      <c r="B22">
        <v>10005</v>
      </c>
      <c r="C22" t="s">
        <v>9</v>
      </c>
      <c r="D22" t="s">
        <v>10</v>
      </c>
      <c r="E22" t="s">
        <v>11</v>
      </c>
      <c r="F22">
        <v>-125</v>
      </c>
      <c r="G22">
        <v>-0.5</v>
      </c>
      <c r="H22" t="str">
        <f>IF(OR(Table1[[#This Row],[R]]&gt;=2,Table1[[#This Row],[Profit]]&gt;500),"GOOD","REVIEW")</f>
        <v>REVIEW</v>
      </c>
      <c r="I22">
        <f>IFERROR(Table1[[#This Row],[Profit]]/Table1[[#This Row],[R]],"0")</f>
        <v>250</v>
      </c>
      <c r="J22" t="s">
        <v>17</v>
      </c>
      <c r="K22" s="1">
        <v>46033</v>
      </c>
    </row>
    <row r="23" spans="1:11" x14ac:dyDescent="0.3">
      <c r="A23">
        <v>34</v>
      </c>
      <c r="B23">
        <v>10005</v>
      </c>
      <c r="C23" t="s">
        <v>9</v>
      </c>
      <c r="D23" t="s">
        <v>10</v>
      </c>
      <c r="E23" t="s">
        <v>11</v>
      </c>
      <c r="F23">
        <v>-150</v>
      </c>
      <c r="G23">
        <v>-1.5</v>
      </c>
      <c r="H23" t="str">
        <f>IF(OR(Table1[[#This Row],[R]]&gt;=2,Table1[[#This Row],[Profit]]&gt;500),"GOOD","REVIEW")</f>
        <v>REVIEW</v>
      </c>
      <c r="I23">
        <f>IFERROR(Table1[[#This Row],[Profit]]/Table1[[#This Row],[R]],"0")</f>
        <v>100</v>
      </c>
      <c r="J23" t="s">
        <v>17</v>
      </c>
      <c r="K23" s="1">
        <v>46107</v>
      </c>
    </row>
    <row r="24" spans="1:11" x14ac:dyDescent="0.3">
      <c r="A24">
        <v>13</v>
      </c>
      <c r="B24">
        <v>10006</v>
      </c>
      <c r="C24" t="s">
        <v>15</v>
      </c>
      <c r="D24" t="s">
        <v>10</v>
      </c>
      <c r="E24" t="s">
        <v>11</v>
      </c>
      <c r="F24">
        <v>750</v>
      </c>
      <c r="G24">
        <v>3</v>
      </c>
      <c r="H24" t="str">
        <f>IF(OR(Table1[[#This Row],[R]]&gt;=2,Table1[[#This Row],[Profit]]&gt;500),"GOOD","REVIEW")</f>
        <v>GOOD</v>
      </c>
      <c r="I24">
        <f>IFERROR(Table1[[#This Row],[Profit]]/Table1[[#This Row],[R]],"0")</f>
        <v>250</v>
      </c>
      <c r="J24" t="s">
        <v>12</v>
      </c>
      <c r="K24" s="1">
        <v>46094</v>
      </c>
    </row>
    <row r="25" spans="1:11" x14ac:dyDescent="0.3">
      <c r="A25">
        <v>98</v>
      </c>
      <c r="B25">
        <v>10001</v>
      </c>
      <c r="C25" t="s">
        <v>15</v>
      </c>
      <c r="D25" t="s">
        <v>10</v>
      </c>
      <c r="E25" t="s">
        <v>14</v>
      </c>
      <c r="F25">
        <v>750</v>
      </c>
      <c r="G25">
        <v>3</v>
      </c>
      <c r="H25" t="str">
        <f>IF(OR(Table1[[#This Row],[R]]&gt;=2,Table1[[#This Row],[Profit]]&gt;500),"GOOD","REVIEW")</f>
        <v>GOOD</v>
      </c>
      <c r="I25">
        <f>IFERROR(Table1[[#This Row],[Profit]]/Table1[[#This Row],[R]],"0")</f>
        <v>250</v>
      </c>
      <c r="J25" t="s">
        <v>12</v>
      </c>
      <c r="K25" s="1">
        <v>46088</v>
      </c>
    </row>
    <row r="26" spans="1:11" x14ac:dyDescent="0.3">
      <c r="A26">
        <v>68</v>
      </c>
      <c r="B26">
        <v>10004</v>
      </c>
      <c r="C26" t="s">
        <v>15</v>
      </c>
      <c r="D26" t="s">
        <v>10</v>
      </c>
      <c r="E26" t="s">
        <v>11</v>
      </c>
      <c r="F26">
        <v>625</v>
      </c>
      <c r="G26">
        <v>2.5</v>
      </c>
      <c r="H26" t="str">
        <f>IF(OR(Table1[[#This Row],[R]]&gt;=2,Table1[[#This Row],[Profit]]&gt;500),"GOOD","REVIEW")</f>
        <v>GOOD</v>
      </c>
      <c r="I26">
        <f>IFERROR(Table1[[#This Row],[Profit]]/Table1[[#This Row],[R]],"0")</f>
        <v>250</v>
      </c>
      <c r="J26" t="s">
        <v>12</v>
      </c>
      <c r="K26" s="1">
        <v>46207</v>
      </c>
    </row>
    <row r="27" spans="1:11" x14ac:dyDescent="0.3">
      <c r="A27">
        <v>85</v>
      </c>
      <c r="B27">
        <v>10003</v>
      </c>
      <c r="C27" t="s">
        <v>15</v>
      </c>
      <c r="D27" t="s">
        <v>16</v>
      </c>
      <c r="E27" t="s">
        <v>11</v>
      </c>
      <c r="F27">
        <v>600</v>
      </c>
      <c r="G27">
        <v>3</v>
      </c>
      <c r="H27" t="str">
        <f>IF(OR(Table1[[#This Row],[R]]&gt;=2,Table1[[#This Row],[Profit]]&gt;500),"GOOD","REVIEW")</f>
        <v>GOOD</v>
      </c>
      <c r="I27">
        <f>IFERROR(Table1[[#This Row],[Profit]]/Table1[[#This Row],[R]],"0")</f>
        <v>200</v>
      </c>
      <c r="J27" t="s">
        <v>12</v>
      </c>
      <c r="K27" s="1">
        <v>46151</v>
      </c>
    </row>
    <row r="28" spans="1:11" x14ac:dyDescent="0.3">
      <c r="A28">
        <v>15</v>
      </c>
      <c r="B28">
        <v>10004</v>
      </c>
      <c r="C28" t="s">
        <v>15</v>
      </c>
      <c r="D28" t="s">
        <v>16</v>
      </c>
      <c r="E28" t="s">
        <v>14</v>
      </c>
      <c r="F28">
        <v>500</v>
      </c>
      <c r="G28">
        <v>2.5</v>
      </c>
      <c r="H28" t="str">
        <f>IF(OR(Table1[[#This Row],[R]]&gt;=2,Table1[[#This Row],[Profit]]&gt;500),"GOOD","REVIEW")</f>
        <v>GOOD</v>
      </c>
      <c r="I28">
        <f>IFERROR(Table1[[#This Row],[Profit]]/Table1[[#This Row],[R]],"0")</f>
        <v>200</v>
      </c>
      <c r="J28" t="s">
        <v>12</v>
      </c>
      <c r="K28" s="1">
        <v>46187</v>
      </c>
    </row>
    <row r="29" spans="1:11" x14ac:dyDescent="0.3">
      <c r="A29">
        <v>37</v>
      </c>
      <c r="B29">
        <v>10003</v>
      </c>
      <c r="C29" t="s">
        <v>15</v>
      </c>
      <c r="D29" t="s">
        <v>16</v>
      </c>
      <c r="E29" t="s">
        <v>14</v>
      </c>
      <c r="F29">
        <v>500</v>
      </c>
      <c r="G29">
        <v>2</v>
      </c>
      <c r="H29" t="str">
        <f>IF(OR(Table1[[#This Row],[R]]&gt;=2,Table1[[#This Row],[Profit]]&gt;500),"GOOD","REVIEW")</f>
        <v>GOOD</v>
      </c>
      <c r="I29">
        <f>IFERROR(Table1[[#This Row],[Profit]]/Table1[[#This Row],[R]],"0")</f>
        <v>250</v>
      </c>
      <c r="J29" t="s">
        <v>12</v>
      </c>
      <c r="K29" s="1">
        <v>46093</v>
      </c>
    </row>
    <row r="30" spans="1:11" x14ac:dyDescent="0.3">
      <c r="A30">
        <v>71</v>
      </c>
      <c r="B30">
        <v>10004</v>
      </c>
      <c r="C30" t="s">
        <v>15</v>
      </c>
      <c r="D30" t="s">
        <v>16</v>
      </c>
      <c r="E30" t="s">
        <v>11</v>
      </c>
      <c r="F30">
        <v>500</v>
      </c>
      <c r="G30">
        <v>2</v>
      </c>
      <c r="H30" t="str">
        <f>IF(OR(Table1[[#This Row],[R]]&gt;=2,Table1[[#This Row],[Profit]]&gt;500),"GOOD","REVIEW")</f>
        <v>GOOD</v>
      </c>
      <c r="I30">
        <f>IFERROR(Table1[[#This Row],[Profit]]/Table1[[#This Row],[R]],"0")</f>
        <v>250</v>
      </c>
      <c r="J30" t="s">
        <v>12</v>
      </c>
      <c r="K30" s="1">
        <v>46151</v>
      </c>
    </row>
    <row r="31" spans="1:11" x14ac:dyDescent="0.3">
      <c r="A31">
        <v>88</v>
      </c>
      <c r="B31">
        <v>10004</v>
      </c>
      <c r="C31" t="s">
        <v>15</v>
      </c>
      <c r="D31" t="s">
        <v>16</v>
      </c>
      <c r="E31" t="s">
        <v>11</v>
      </c>
      <c r="F31">
        <v>500</v>
      </c>
      <c r="G31">
        <v>2</v>
      </c>
      <c r="H31" t="str">
        <f>IF(OR(Table1[[#This Row],[R]]&gt;=2,Table1[[#This Row],[Profit]]&gt;500),"GOOD","REVIEW")</f>
        <v>GOOD</v>
      </c>
      <c r="I31">
        <f>IFERROR(Table1[[#This Row],[Profit]]/Table1[[#This Row],[R]],"0")</f>
        <v>250</v>
      </c>
      <c r="J31" t="s">
        <v>12</v>
      </c>
      <c r="K31" s="1">
        <v>46204</v>
      </c>
    </row>
    <row r="32" spans="1:11" x14ac:dyDescent="0.3">
      <c r="A32">
        <v>76</v>
      </c>
      <c r="B32">
        <v>10005</v>
      </c>
      <c r="C32" t="s">
        <v>15</v>
      </c>
      <c r="D32" t="s">
        <v>10</v>
      </c>
      <c r="E32" t="s">
        <v>14</v>
      </c>
      <c r="F32">
        <v>375</v>
      </c>
      <c r="G32">
        <v>1.5</v>
      </c>
      <c r="H32" t="str">
        <f>IF(OR(Table1[[#This Row],[R]]&gt;=2,Table1[[#This Row],[Profit]]&gt;500),"GOOD","REVIEW")</f>
        <v>REVIEW</v>
      </c>
      <c r="I32">
        <f>IFERROR(Table1[[#This Row],[Profit]]/Table1[[#This Row],[R]],"0")</f>
        <v>250</v>
      </c>
      <c r="J32" t="s">
        <v>12</v>
      </c>
      <c r="K32" s="1">
        <v>46034</v>
      </c>
    </row>
    <row r="33" spans="1:11" x14ac:dyDescent="0.3">
      <c r="A33">
        <v>92</v>
      </c>
      <c r="B33">
        <v>10001</v>
      </c>
      <c r="C33" t="s">
        <v>15</v>
      </c>
      <c r="D33" t="s">
        <v>16</v>
      </c>
      <c r="E33" t="s">
        <v>14</v>
      </c>
      <c r="F33">
        <v>375</v>
      </c>
      <c r="G33">
        <v>1.5</v>
      </c>
      <c r="H33" t="str">
        <f>IF(OR(Table1[[#This Row],[R]]&gt;=2,Table1[[#This Row],[Profit]]&gt;500),"GOOD","REVIEW")</f>
        <v>REVIEW</v>
      </c>
      <c r="I33">
        <f>IFERROR(Table1[[#This Row],[Profit]]/Table1[[#This Row],[R]],"0")</f>
        <v>250</v>
      </c>
      <c r="J33" t="s">
        <v>12</v>
      </c>
      <c r="K33" s="1">
        <v>46030</v>
      </c>
    </row>
    <row r="34" spans="1:11" x14ac:dyDescent="0.3">
      <c r="A34">
        <v>10</v>
      </c>
      <c r="B34">
        <v>10004</v>
      </c>
      <c r="C34" t="s">
        <v>15</v>
      </c>
      <c r="D34" t="s">
        <v>10</v>
      </c>
      <c r="E34" t="s">
        <v>14</v>
      </c>
      <c r="F34">
        <v>300</v>
      </c>
      <c r="G34">
        <v>3</v>
      </c>
      <c r="H34" t="str">
        <f>IF(OR(Table1[[#This Row],[R]]&gt;=2,Table1[[#This Row],[Profit]]&gt;500),"GOOD","REVIEW")</f>
        <v>GOOD</v>
      </c>
      <c r="I34">
        <f>IFERROR(Table1[[#This Row],[Profit]]/Table1[[#This Row],[R]],"0")</f>
        <v>100</v>
      </c>
      <c r="J34" t="s">
        <v>12</v>
      </c>
      <c r="K34" s="1">
        <v>46182</v>
      </c>
    </row>
    <row r="35" spans="1:11" x14ac:dyDescent="0.3">
      <c r="A35">
        <v>23</v>
      </c>
      <c r="B35">
        <v>10003</v>
      </c>
      <c r="C35" t="s">
        <v>15</v>
      </c>
      <c r="D35" t="s">
        <v>10</v>
      </c>
      <c r="E35" t="s">
        <v>14</v>
      </c>
      <c r="F35">
        <v>300</v>
      </c>
      <c r="G35">
        <v>3</v>
      </c>
      <c r="H35" t="str">
        <f>IF(OR(Table1[[#This Row],[R]]&gt;=2,Table1[[#This Row],[Profit]]&gt;500),"GOOD","REVIEW")</f>
        <v>GOOD</v>
      </c>
      <c r="I35">
        <f>IFERROR(Table1[[#This Row],[Profit]]/Table1[[#This Row],[R]],"0")</f>
        <v>100</v>
      </c>
      <c r="J35" t="s">
        <v>12</v>
      </c>
      <c r="K35" s="1">
        <v>46057</v>
      </c>
    </row>
    <row r="36" spans="1:11" x14ac:dyDescent="0.3">
      <c r="A36">
        <v>54</v>
      </c>
      <c r="B36">
        <v>10006</v>
      </c>
      <c r="C36" t="s">
        <v>15</v>
      </c>
      <c r="D36" t="s">
        <v>16</v>
      </c>
      <c r="E36" t="s">
        <v>14</v>
      </c>
      <c r="F36">
        <v>300</v>
      </c>
      <c r="G36">
        <v>3</v>
      </c>
      <c r="H36" t="str">
        <f>IF(OR(Table1[[#This Row],[R]]&gt;=2,Table1[[#This Row],[Profit]]&gt;500),"GOOD","REVIEW")</f>
        <v>GOOD</v>
      </c>
      <c r="I36">
        <f>IFERROR(Table1[[#This Row],[Profit]]/Table1[[#This Row],[R]],"0")</f>
        <v>100</v>
      </c>
      <c r="J36" t="s">
        <v>12</v>
      </c>
      <c r="K36" s="1">
        <v>46125</v>
      </c>
    </row>
    <row r="37" spans="1:11" x14ac:dyDescent="0.3">
      <c r="A37">
        <v>12</v>
      </c>
      <c r="B37">
        <v>10006</v>
      </c>
      <c r="C37" t="s">
        <v>15</v>
      </c>
      <c r="D37" t="s">
        <v>16</v>
      </c>
      <c r="E37" t="s">
        <v>14</v>
      </c>
      <c r="F37">
        <v>250</v>
      </c>
      <c r="G37">
        <v>2.5</v>
      </c>
      <c r="H37" t="str">
        <f>IF(OR(Table1[[#This Row],[R]]&gt;=2,Table1[[#This Row],[Profit]]&gt;500),"GOOD","REVIEW")</f>
        <v>GOOD</v>
      </c>
      <c r="I37">
        <f>IFERROR(Table1[[#This Row],[Profit]]/Table1[[#This Row],[R]],"0")</f>
        <v>100</v>
      </c>
      <c r="J37" t="s">
        <v>12</v>
      </c>
      <c r="K37" s="1">
        <v>46043</v>
      </c>
    </row>
    <row r="38" spans="1:11" x14ac:dyDescent="0.3">
      <c r="A38">
        <v>63</v>
      </c>
      <c r="B38">
        <v>10001</v>
      </c>
      <c r="C38" t="s">
        <v>15</v>
      </c>
      <c r="D38" t="s">
        <v>10</v>
      </c>
      <c r="E38" t="s">
        <v>11</v>
      </c>
      <c r="F38">
        <v>250</v>
      </c>
      <c r="G38">
        <v>1</v>
      </c>
      <c r="H38" t="str">
        <f>IF(OR(Table1[[#This Row],[R]]&gt;=2,Table1[[#This Row],[Profit]]&gt;500),"GOOD","REVIEW")</f>
        <v>REVIEW</v>
      </c>
      <c r="I38">
        <f>IFERROR(Table1[[#This Row],[Profit]]/Table1[[#This Row],[R]],"0")</f>
        <v>250</v>
      </c>
      <c r="J38" t="s">
        <v>12</v>
      </c>
      <c r="K38" s="1">
        <v>46135</v>
      </c>
    </row>
    <row r="39" spans="1:11" x14ac:dyDescent="0.3">
      <c r="A39">
        <v>95</v>
      </c>
      <c r="B39">
        <v>10002</v>
      </c>
      <c r="C39" t="s">
        <v>15</v>
      </c>
      <c r="D39" t="s">
        <v>16</v>
      </c>
      <c r="E39" t="s">
        <v>14</v>
      </c>
      <c r="F39">
        <v>250</v>
      </c>
      <c r="G39">
        <v>2.5</v>
      </c>
      <c r="H39" t="str">
        <f>IF(OR(Table1[[#This Row],[R]]&gt;=2,Table1[[#This Row],[Profit]]&gt;500),"GOOD","REVIEW")</f>
        <v>GOOD</v>
      </c>
      <c r="I39">
        <f>IFERROR(Table1[[#This Row],[Profit]]/Table1[[#This Row],[R]],"0")</f>
        <v>100</v>
      </c>
      <c r="J39" t="s">
        <v>12</v>
      </c>
      <c r="K39" s="1">
        <v>46065</v>
      </c>
    </row>
    <row r="40" spans="1:11" x14ac:dyDescent="0.3">
      <c r="A40">
        <v>84</v>
      </c>
      <c r="B40">
        <v>10003</v>
      </c>
      <c r="C40" t="s">
        <v>15</v>
      </c>
      <c r="D40" t="s">
        <v>16</v>
      </c>
      <c r="E40" t="s">
        <v>11</v>
      </c>
      <c r="F40">
        <v>200</v>
      </c>
      <c r="G40">
        <v>2</v>
      </c>
      <c r="H40" t="str">
        <f>IF(OR(Table1[[#This Row],[R]]&gt;=2,Table1[[#This Row],[Profit]]&gt;500),"GOOD","REVIEW")</f>
        <v>GOOD</v>
      </c>
      <c r="I40">
        <f>IFERROR(Table1[[#This Row],[Profit]]/Table1[[#This Row],[R]],"0")</f>
        <v>100</v>
      </c>
      <c r="J40" t="s">
        <v>12</v>
      </c>
      <c r="K40" s="1">
        <v>46142</v>
      </c>
    </row>
    <row r="41" spans="1:11" x14ac:dyDescent="0.3">
      <c r="A41">
        <v>33</v>
      </c>
      <c r="B41">
        <v>10001</v>
      </c>
      <c r="C41" t="s">
        <v>15</v>
      </c>
      <c r="D41" t="s">
        <v>16</v>
      </c>
      <c r="E41" t="s">
        <v>14</v>
      </c>
      <c r="F41">
        <v>150</v>
      </c>
      <c r="G41">
        <v>3</v>
      </c>
      <c r="H41" t="str">
        <f>IF(OR(Table1[[#This Row],[R]]&gt;=2,Table1[[#This Row],[Profit]]&gt;500),"GOOD","REVIEW")</f>
        <v>GOOD</v>
      </c>
      <c r="I41">
        <f>IFERROR(Table1[[#This Row],[Profit]]/Table1[[#This Row],[R]],"0")</f>
        <v>50</v>
      </c>
      <c r="J41" t="s">
        <v>12</v>
      </c>
      <c r="K41" s="1">
        <v>46066</v>
      </c>
    </row>
    <row r="42" spans="1:11" x14ac:dyDescent="0.3">
      <c r="A42">
        <v>100</v>
      </c>
      <c r="B42">
        <v>10004</v>
      </c>
      <c r="C42" t="s">
        <v>15</v>
      </c>
      <c r="D42" t="s">
        <v>16</v>
      </c>
      <c r="E42" t="s">
        <v>14</v>
      </c>
      <c r="F42">
        <v>150</v>
      </c>
      <c r="G42">
        <v>1.5</v>
      </c>
      <c r="H42" t="str">
        <f>IF(OR(Table1[[#This Row],[R]]&gt;=2,Table1[[#This Row],[Profit]]&gt;500),"GOOD","REVIEW")</f>
        <v>REVIEW</v>
      </c>
      <c r="I42">
        <f>IFERROR(Table1[[#This Row],[Profit]]/Table1[[#This Row],[R]],"0")</f>
        <v>100</v>
      </c>
      <c r="J42" t="s">
        <v>12</v>
      </c>
      <c r="K42" s="1">
        <v>46202</v>
      </c>
    </row>
    <row r="43" spans="1:11" x14ac:dyDescent="0.3">
      <c r="A43">
        <v>3</v>
      </c>
      <c r="B43">
        <v>10004</v>
      </c>
      <c r="C43" t="s">
        <v>15</v>
      </c>
      <c r="D43" t="s">
        <v>16</v>
      </c>
      <c r="E43" t="s">
        <v>14</v>
      </c>
      <c r="F43">
        <v>100</v>
      </c>
      <c r="G43">
        <v>1</v>
      </c>
      <c r="H43" t="str">
        <f>IF(OR(Table1[[#This Row],[R]]&gt;=2,Table1[[#This Row],[Profit]]&gt;500),"GOOD","REVIEW")</f>
        <v>REVIEW</v>
      </c>
      <c r="I43">
        <f>IFERROR(Table1[[#This Row],[Profit]]/Table1[[#This Row],[R]],"0")</f>
        <v>100</v>
      </c>
      <c r="J43" t="s">
        <v>12</v>
      </c>
      <c r="K43" s="1">
        <v>46170</v>
      </c>
    </row>
    <row r="44" spans="1:11" x14ac:dyDescent="0.3">
      <c r="A44">
        <v>7</v>
      </c>
      <c r="B44">
        <v>10006</v>
      </c>
      <c r="C44" t="s">
        <v>15</v>
      </c>
      <c r="D44" t="s">
        <v>10</v>
      </c>
      <c r="E44" t="s">
        <v>14</v>
      </c>
      <c r="F44">
        <v>100</v>
      </c>
      <c r="G44">
        <v>2</v>
      </c>
      <c r="H44" t="str">
        <f>IF(OR(Table1[[#This Row],[R]]&gt;=2,Table1[[#This Row],[Profit]]&gt;500),"GOOD","REVIEW")</f>
        <v>GOOD</v>
      </c>
      <c r="I44">
        <f>IFERROR(Table1[[#This Row],[Profit]]/Table1[[#This Row],[R]],"0")</f>
        <v>50</v>
      </c>
      <c r="J44" t="s">
        <v>12</v>
      </c>
      <c r="K44" s="1">
        <v>46174</v>
      </c>
    </row>
    <row r="45" spans="1:11" x14ac:dyDescent="0.3">
      <c r="A45">
        <v>20</v>
      </c>
      <c r="B45">
        <v>10006</v>
      </c>
      <c r="C45" t="s">
        <v>15</v>
      </c>
      <c r="D45" t="s">
        <v>10</v>
      </c>
      <c r="E45" t="s">
        <v>14</v>
      </c>
      <c r="F45">
        <v>100</v>
      </c>
      <c r="G45">
        <v>1</v>
      </c>
      <c r="H45" t="str">
        <f>IF(OR(Table1[[#This Row],[R]]&gt;=2,Table1[[#This Row],[Profit]]&gt;500),"GOOD","REVIEW")</f>
        <v>REVIEW</v>
      </c>
      <c r="I45">
        <f>IFERROR(Table1[[#This Row],[Profit]]/Table1[[#This Row],[R]],"0")</f>
        <v>100</v>
      </c>
      <c r="J45" t="s">
        <v>12</v>
      </c>
      <c r="K45" s="1">
        <v>46041</v>
      </c>
    </row>
    <row r="46" spans="1:11" x14ac:dyDescent="0.3">
      <c r="A46">
        <v>62</v>
      </c>
      <c r="B46">
        <v>10004</v>
      </c>
      <c r="C46" t="s">
        <v>15</v>
      </c>
      <c r="D46" t="s">
        <v>16</v>
      </c>
      <c r="E46" t="s">
        <v>11</v>
      </c>
      <c r="F46">
        <v>50</v>
      </c>
      <c r="G46">
        <v>1</v>
      </c>
      <c r="H46" t="str">
        <f>IF(OR(Table1[[#This Row],[R]]&gt;=2,Table1[[#This Row],[Profit]]&gt;500),"GOOD","REVIEW")</f>
        <v>REVIEW</v>
      </c>
      <c r="I46">
        <f>IFERROR(Table1[[#This Row],[Profit]]/Table1[[#This Row],[R]],"0")</f>
        <v>50</v>
      </c>
      <c r="J46" t="s">
        <v>12</v>
      </c>
      <c r="K46" s="1">
        <v>46133</v>
      </c>
    </row>
    <row r="47" spans="1:11" x14ac:dyDescent="0.3">
      <c r="A47">
        <v>24</v>
      </c>
      <c r="B47">
        <v>10006</v>
      </c>
      <c r="C47" t="s">
        <v>15</v>
      </c>
      <c r="D47" t="s">
        <v>10</v>
      </c>
      <c r="E47" t="s">
        <v>14</v>
      </c>
      <c r="F47">
        <v>-25</v>
      </c>
      <c r="G47">
        <v>-0.5</v>
      </c>
      <c r="H47" t="str">
        <f>IF(OR(Table1[[#This Row],[R]]&gt;=2,Table1[[#This Row],[Profit]]&gt;500),"GOOD","REVIEW")</f>
        <v>REVIEW</v>
      </c>
      <c r="I47">
        <f>IFERROR(Table1[[#This Row],[Profit]]/Table1[[#This Row],[R]],"0")</f>
        <v>50</v>
      </c>
      <c r="J47" t="s">
        <v>17</v>
      </c>
      <c r="K47" s="1">
        <v>46177</v>
      </c>
    </row>
    <row r="48" spans="1:11" x14ac:dyDescent="0.3">
      <c r="A48">
        <v>14</v>
      </c>
      <c r="B48">
        <v>10001</v>
      </c>
      <c r="C48" t="s">
        <v>15</v>
      </c>
      <c r="D48" t="s">
        <v>10</v>
      </c>
      <c r="E48" t="s">
        <v>11</v>
      </c>
      <c r="F48">
        <v>-50</v>
      </c>
      <c r="G48">
        <v>-0.5</v>
      </c>
      <c r="H48" t="str">
        <f>IF(OR(Table1[[#This Row],[R]]&gt;=2,Table1[[#This Row],[Profit]]&gt;500),"GOOD","REVIEW")</f>
        <v>REVIEW</v>
      </c>
      <c r="I48">
        <f>IFERROR(Table1[[#This Row],[Profit]]/Table1[[#This Row],[R]],"0")</f>
        <v>100</v>
      </c>
      <c r="J48" t="s">
        <v>17</v>
      </c>
      <c r="K48" s="1">
        <v>46119</v>
      </c>
    </row>
    <row r="49" spans="1:11" x14ac:dyDescent="0.3">
      <c r="A49">
        <v>49</v>
      </c>
      <c r="B49">
        <v>10001</v>
      </c>
      <c r="C49" t="s">
        <v>15</v>
      </c>
      <c r="D49" t="s">
        <v>10</v>
      </c>
      <c r="E49" t="s">
        <v>11</v>
      </c>
      <c r="F49">
        <v>-50</v>
      </c>
      <c r="G49">
        <v>-0.5</v>
      </c>
      <c r="H49" t="str">
        <f>IF(OR(Table1[[#This Row],[R]]&gt;=2,Table1[[#This Row],[Profit]]&gt;500),"GOOD","REVIEW")</f>
        <v>REVIEW</v>
      </c>
      <c r="I49">
        <f>IFERROR(Table1[[#This Row],[Profit]]/Table1[[#This Row],[R]],"0")</f>
        <v>100</v>
      </c>
      <c r="J49" t="s">
        <v>17</v>
      </c>
      <c r="K49" s="1">
        <v>46095</v>
      </c>
    </row>
    <row r="50" spans="1:11" x14ac:dyDescent="0.3">
      <c r="A50">
        <v>79</v>
      </c>
      <c r="B50">
        <v>10001</v>
      </c>
      <c r="C50" t="s">
        <v>15</v>
      </c>
      <c r="D50" t="s">
        <v>10</v>
      </c>
      <c r="E50" t="s">
        <v>14</v>
      </c>
      <c r="F50">
        <v>-50</v>
      </c>
      <c r="G50">
        <v>-1</v>
      </c>
      <c r="H50" t="str">
        <f>IF(OR(Table1[[#This Row],[R]]&gt;=2,Table1[[#This Row],[Profit]]&gt;500),"GOOD","REVIEW")</f>
        <v>REVIEW</v>
      </c>
      <c r="I50">
        <f>IFERROR(Table1[[#This Row],[Profit]]/Table1[[#This Row],[R]],"0")</f>
        <v>50</v>
      </c>
      <c r="J50" t="s">
        <v>17</v>
      </c>
      <c r="K50" s="1">
        <v>46128</v>
      </c>
    </row>
    <row r="51" spans="1:11" x14ac:dyDescent="0.3">
      <c r="A51">
        <v>40</v>
      </c>
      <c r="B51">
        <v>10005</v>
      </c>
      <c r="C51" t="s">
        <v>15</v>
      </c>
      <c r="D51" t="s">
        <v>16</v>
      </c>
      <c r="E51" t="s">
        <v>11</v>
      </c>
      <c r="F51">
        <v>-75</v>
      </c>
      <c r="G51">
        <v>-1.5</v>
      </c>
      <c r="H51" t="str">
        <f>IF(OR(Table1[[#This Row],[R]]&gt;=2,Table1[[#This Row],[Profit]]&gt;500),"GOOD","REVIEW")</f>
        <v>REVIEW</v>
      </c>
      <c r="I51">
        <f>IFERROR(Table1[[#This Row],[Profit]]/Table1[[#This Row],[R]],"0")</f>
        <v>50</v>
      </c>
      <c r="J51" t="s">
        <v>17</v>
      </c>
      <c r="K51" s="1">
        <v>46099</v>
      </c>
    </row>
    <row r="52" spans="1:11" x14ac:dyDescent="0.3">
      <c r="A52">
        <v>39</v>
      </c>
      <c r="B52">
        <v>10003</v>
      </c>
      <c r="C52" t="s">
        <v>15</v>
      </c>
      <c r="D52" t="s">
        <v>16</v>
      </c>
      <c r="E52" t="s">
        <v>14</v>
      </c>
      <c r="F52">
        <v>-100</v>
      </c>
      <c r="G52">
        <v>-0.5</v>
      </c>
      <c r="H52" t="str">
        <f>IF(OR(Table1[[#This Row],[R]]&gt;=2,Table1[[#This Row],[Profit]]&gt;500),"GOOD","REVIEW")</f>
        <v>REVIEW</v>
      </c>
      <c r="I52">
        <f>IFERROR(Table1[[#This Row],[Profit]]/Table1[[#This Row],[R]],"0")</f>
        <v>200</v>
      </c>
      <c r="J52" t="s">
        <v>17</v>
      </c>
      <c r="K52" s="1">
        <v>46164</v>
      </c>
    </row>
    <row r="53" spans="1:11" x14ac:dyDescent="0.3">
      <c r="A53">
        <v>29</v>
      </c>
      <c r="B53">
        <v>10002</v>
      </c>
      <c r="C53" t="s">
        <v>15</v>
      </c>
      <c r="D53" t="s">
        <v>16</v>
      </c>
      <c r="E53" t="s">
        <v>11</v>
      </c>
      <c r="F53">
        <v>-125</v>
      </c>
      <c r="G53">
        <v>-0.5</v>
      </c>
      <c r="H53" t="str">
        <f>IF(OR(Table1[[#This Row],[R]]&gt;=2,Table1[[#This Row],[Profit]]&gt;500),"GOOD","REVIEW")</f>
        <v>REVIEW</v>
      </c>
      <c r="I53">
        <f>IFERROR(Table1[[#This Row],[Profit]]/Table1[[#This Row],[R]],"0")</f>
        <v>250</v>
      </c>
      <c r="J53" t="s">
        <v>17</v>
      </c>
      <c r="K53" s="1">
        <v>46135</v>
      </c>
    </row>
    <row r="54" spans="1:11" x14ac:dyDescent="0.3">
      <c r="A54">
        <v>69</v>
      </c>
      <c r="B54">
        <v>10005</v>
      </c>
      <c r="C54" t="s">
        <v>15</v>
      </c>
      <c r="D54" t="s">
        <v>16</v>
      </c>
      <c r="E54" t="s">
        <v>11</v>
      </c>
      <c r="F54">
        <v>-125</v>
      </c>
      <c r="G54">
        <v>-0.5</v>
      </c>
      <c r="H54" t="str">
        <f>IF(OR(Table1[[#This Row],[R]]&gt;=2,Table1[[#This Row],[Profit]]&gt;500),"GOOD","REVIEW")</f>
        <v>REVIEW</v>
      </c>
      <c r="I54">
        <f>IFERROR(Table1[[#This Row],[Profit]]/Table1[[#This Row],[R]],"0")</f>
        <v>250</v>
      </c>
      <c r="J54" t="s">
        <v>17</v>
      </c>
      <c r="K54" s="1">
        <v>46042</v>
      </c>
    </row>
    <row r="55" spans="1:11" x14ac:dyDescent="0.3">
      <c r="A55">
        <v>22</v>
      </c>
      <c r="B55">
        <v>10006</v>
      </c>
      <c r="C55" t="s">
        <v>15</v>
      </c>
      <c r="D55" t="s">
        <v>16</v>
      </c>
      <c r="E55" t="s">
        <v>11</v>
      </c>
      <c r="F55">
        <v>-250</v>
      </c>
      <c r="G55">
        <v>-1</v>
      </c>
      <c r="H55" t="str">
        <f>IF(OR(Table1[[#This Row],[R]]&gt;=2,Table1[[#This Row],[Profit]]&gt;500),"GOOD","REVIEW")</f>
        <v>REVIEW</v>
      </c>
      <c r="I55">
        <f>IFERROR(Table1[[#This Row],[Profit]]/Table1[[#This Row],[R]],"0")</f>
        <v>250</v>
      </c>
      <c r="J55" t="s">
        <v>17</v>
      </c>
      <c r="K55" s="1">
        <v>46165</v>
      </c>
    </row>
    <row r="56" spans="1:11" x14ac:dyDescent="0.3">
      <c r="A56">
        <v>36</v>
      </c>
      <c r="B56">
        <v>10004</v>
      </c>
      <c r="C56" t="s">
        <v>15</v>
      </c>
      <c r="D56" t="s">
        <v>10</v>
      </c>
      <c r="E56" t="s">
        <v>14</v>
      </c>
      <c r="F56">
        <v>-300</v>
      </c>
      <c r="G56">
        <v>-1.5</v>
      </c>
      <c r="H56" t="str">
        <f>IF(OR(Table1[[#This Row],[R]]&gt;=2,Table1[[#This Row],[Profit]]&gt;500),"GOOD","REVIEW")</f>
        <v>REVIEW</v>
      </c>
      <c r="I56">
        <f>IFERROR(Table1[[#This Row],[Profit]]/Table1[[#This Row],[R]],"0")</f>
        <v>200</v>
      </c>
      <c r="J56" t="s">
        <v>17</v>
      </c>
      <c r="K56" s="1">
        <v>46057</v>
      </c>
    </row>
    <row r="57" spans="1:11" x14ac:dyDescent="0.3">
      <c r="A57">
        <v>32</v>
      </c>
      <c r="B57">
        <v>10003</v>
      </c>
      <c r="C57" t="s">
        <v>13</v>
      </c>
      <c r="D57" t="s">
        <v>16</v>
      </c>
      <c r="E57" t="s">
        <v>11</v>
      </c>
      <c r="F57">
        <v>750</v>
      </c>
      <c r="G57">
        <v>3</v>
      </c>
      <c r="H57" t="str">
        <f>IF(OR(Table1[[#This Row],[R]]&gt;=2,Table1[[#This Row],[Profit]]&gt;500),"GOOD","REVIEW")</f>
        <v>GOOD</v>
      </c>
      <c r="I57">
        <f>IFERROR(Table1[[#This Row],[Profit]]/Table1[[#This Row],[R]],"0")</f>
        <v>250</v>
      </c>
      <c r="J57" t="s">
        <v>12</v>
      </c>
      <c r="K57" s="1">
        <v>46027</v>
      </c>
    </row>
    <row r="58" spans="1:11" x14ac:dyDescent="0.3">
      <c r="A58">
        <v>73</v>
      </c>
      <c r="B58">
        <v>10002</v>
      </c>
      <c r="C58" t="s">
        <v>13</v>
      </c>
      <c r="D58" t="s">
        <v>10</v>
      </c>
      <c r="E58" t="s">
        <v>11</v>
      </c>
      <c r="F58">
        <v>500</v>
      </c>
      <c r="G58">
        <v>2.5</v>
      </c>
      <c r="H58" t="str">
        <f>IF(OR(Table1[[#This Row],[R]]&gt;=2,Table1[[#This Row],[Profit]]&gt;500),"GOOD","REVIEW")</f>
        <v>GOOD</v>
      </c>
      <c r="I58">
        <f>IFERROR(Table1[[#This Row],[Profit]]/Table1[[#This Row],[R]],"0")</f>
        <v>200</v>
      </c>
      <c r="J58" t="s">
        <v>12</v>
      </c>
      <c r="K58" s="1">
        <v>46191</v>
      </c>
    </row>
    <row r="59" spans="1:11" x14ac:dyDescent="0.3">
      <c r="A59">
        <v>74</v>
      </c>
      <c r="B59">
        <v>10004</v>
      </c>
      <c r="C59" t="s">
        <v>13</v>
      </c>
      <c r="D59" t="s">
        <v>16</v>
      </c>
      <c r="E59" t="s">
        <v>11</v>
      </c>
      <c r="F59">
        <v>500</v>
      </c>
      <c r="G59">
        <v>2.5</v>
      </c>
      <c r="H59" t="str">
        <f>IF(OR(Table1[[#This Row],[R]]&gt;=2,Table1[[#This Row],[Profit]]&gt;500),"GOOD","REVIEW")</f>
        <v>GOOD</v>
      </c>
      <c r="I59">
        <f>IFERROR(Table1[[#This Row],[Profit]]/Table1[[#This Row],[R]],"0")</f>
        <v>200</v>
      </c>
      <c r="J59" t="s">
        <v>12</v>
      </c>
      <c r="K59" s="1">
        <v>46081</v>
      </c>
    </row>
    <row r="60" spans="1:11" x14ac:dyDescent="0.3">
      <c r="A60">
        <v>87</v>
      </c>
      <c r="B60">
        <v>10001</v>
      </c>
      <c r="C60" t="s">
        <v>13</v>
      </c>
      <c r="D60" t="s">
        <v>16</v>
      </c>
      <c r="E60" t="s">
        <v>11</v>
      </c>
      <c r="F60">
        <v>375</v>
      </c>
      <c r="G60">
        <v>1.5</v>
      </c>
      <c r="H60" t="str">
        <f>IF(OR(Table1[[#This Row],[R]]&gt;=2,Table1[[#This Row],[Profit]]&gt;500),"GOOD","REVIEW")</f>
        <v>REVIEW</v>
      </c>
      <c r="I60">
        <f>IFERROR(Table1[[#This Row],[Profit]]/Table1[[#This Row],[R]],"0")</f>
        <v>250</v>
      </c>
      <c r="J60" t="s">
        <v>12</v>
      </c>
      <c r="K60" s="1">
        <v>46203</v>
      </c>
    </row>
    <row r="61" spans="1:11" x14ac:dyDescent="0.3">
      <c r="A61">
        <v>65</v>
      </c>
      <c r="B61">
        <v>10004</v>
      </c>
      <c r="C61" t="s">
        <v>13</v>
      </c>
      <c r="D61" t="s">
        <v>10</v>
      </c>
      <c r="E61" t="s">
        <v>11</v>
      </c>
      <c r="F61">
        <v>300</v>
      </c>
      <c r="G61">
        <v>1.5</v>
      </c>
      <c r="H61" t="str">
        <f>IF(OR(Table1[[#This Row],[R]]&gt;=2,Table1[[#This Row],[Profit]]&gt;500),"GOOD","REVIEW")</f>
        <v>REVIEW</v>
      </c>
      <c r="I61">
        <f>IFERROR(Table1[[#This Row],[Profit]]/Table1[[#This Row],[R]],"0")</f>
        <v>200</v>
      </c>
      <c r="J61" t="s">
        <v>12</v>
      </c>
      <c r="K61" s="1">
        <v>46167</v>
      </c>
    </row>
    <row r="62" spans="1:11" x14ac:dyDescent="0.3">
      <c r="A62">
        <v>26</v>
      </c>
      <c r="B62">
        <v>10004</v>
      </c>
      <c r="C62" t="s">
        <v>13</v>
      </c>
      <c r="D62" t="s">
        <v>10</v>
      </c>
      <c r="E62" t="s">
        <v>11</v>
      </c>
      <c r="F62">
        <v>250</v>
      </c>
      <c r="G62">
        <v>1</v>
      </c>
      <c r="H62" t="str">
        <f>IF(OR(Table1[[#This Row],[R]]&gt;=2,Table1[[#This Row],[Profit]]&gt;500),"GOOD","REVIEW")</f>
        <v>REVIEW</v>
      </c>
      <c r="I62">
        <f>IFERROR(Table1[[#This Row],[Profit]]/Table1[[#This Row],[R]],"0")</f>
        <v>250</v>
      </c>
      <c r="J62" t="s">
        <v>12</v>
      </c>
      <c r="K62" s="1">
        <v>46173</v>
      </c>
    </row>
    <row r="63" spans="1:11" x14ac:dyDescent="0.3">
      <c r="A63">
        <v>55</v>
      </c>
      <c r="B63">
        <v>10005</v>
      </c>
      <c r="C63" t="s">
        <v>13</v>
      </c>
      <c r="D63" t="s">
        <v>10</v>
      </c>
      <c r="E63" t="s">
        <v>11</v>
      </c>
      <c r="F63">
        <v>200</v>
      </c>
      <c r="G63">
        <v>1</v>
      </c>
      <c r="H63" t="str">
        <f>IF(OR(Table1[[#This Row],[R]]&gt;=2,Table1[[#This Row],[Profit]]&gt;500),"GOOD","REVIEW")</f>
        <v>REVIEW</v>
      </c>
      <c r="I63">
        <f>IFERROR(Table1[[#This Row],[Profit]]/Table1[[#This Row],[R]],"0")</f>
        <v>200</v>
      </c>
      <c r="J63" t="s">
        <v>12</v>
      </c>
      <c r="K63" s="1">
        <v>46120</v>
      </c>
    </row>
    <row r="64" spans="1:11" x14ac:dyDescent="0.3">
      <c r="A64">
        <v>59</v>
      </c>
      <c r="B64">
        <v>10006</v>
      </c>
      <c r="C64" t="s">
        <v>13</v>
      </c>
      <c r="D64" t="s">
        <v>10</v>
      </c>
      <c r="E64" t="s">
        <v>11</v>
      </c>
      <c r="F64">
        <v>200</v>
      </c>
      <c r="G64">
        <v>1</v>
      </c>
      <c r="H64" t="str">
        <f>IF(OR(Table1[[#This Row],[R]]&gt;=2,Table1[[#This Row],[Profit]]&gt;500),"GOOD","REVIEW")</f>
        <v>REVIEW</v>
      </c>
      <c r="I64">
        <f>IFERROR(Table1[[#This Row],[Profit]]/Table1[[#This Row],[R]],"0")</f>
        <v>200</v>
      </c>
      <c r="J64" t="s">
        <v>12</v>
      </c>
      <c r="K64" s="1">
        <v>46140</v>
      </c>
    </row>
    <row r="65" spans="1:11" x14ac:dyDescent="0.3">
      <c r="A65">
        <v>66</v>
      </c>
      <c r="B65">
        <v>10004</v>
      </c>
      <c r="C65" t="s">
        <v>13</v>
      </c>
      <c r="D65" t="s">
        <v>10</v>
      </c>
      <c r="E65" t="s">
        <v>11</v>
      </c>
      <c r="F65">
        <v>200</v>
      </c>
      <c r="G65">
        <v>2</v>
      </c>
      <c r="H65" t="str">
        <f>IF(OR(Table1[[#This Row],[R]]&gt;=2,Table1[[#This Row],[Profit]]&gt;500),"GOOD","REVIEW")</f>
        <v>GOOD</v>
      </c>
      <c r="I65">
        <f>IFERROR(Table1[[#This Row],[Profit]]/Table1[[#This Row],[R]],"0")</f>
        <v>100</v>
      </c>
      <c r="J65" t="s">
        <v>12</v>
      </c>
      <c r="K65" s="1">
        <v>46160</v>
      </c>
    </row>
    <row r="66" spans="1:11" x14ac:dyDescent="0.3">
      <c r="A66">
        <v>2</v>
      </c>
      <c r="B66">
        <v>10001</v>
      </c>
      <c r="C66" t="s">
        <v>13</v>
      </c>
      <c r="D66" t="s">
        <v>10</v>
      </c>
      <c r="E66" t="s">
        <v>14</v>
      </c>
      <c r="F66">
        <v>150</v>
      </c>
      <c r="G66">
        <v>3</v>
      </c>
      <c r="H66" t="str">
        <f>IF(OR(Table1[[#This Row],[R]]&gt;=2,Table1[[#This Row],[Profit]]&gt;500),"GOOD","REVIEW")</f>
        <v>GOOD</v>
      </c>
      <c r="I66">
        <f>IFERROR(Table1[[#This Row],[Profit]]/Table1[[#This Row],[R]],"0")</f>
        <v>50</v>
      </c>
      <c r="J66" t="s">
        <v>12</v>
      </c>
      <c r="K66" s="1">
        <v>46178</v>
      </c>
    </row>
    <row r="67" spans="1:11" x14ac:dyDescent="0.3">
      <c r="A67">
        <v>94</v>
      </c>
      <c r="B67">
        <v>10004</v>
      </c>
      <c r="C67" t="s">
        <v>13</v>
      </c>
      <c r="D67" t="s">
        <v>10</v>
      </c>
      <c r="E67" t="s">
        <v>14</v>
      </c>
      <c r="F67">
        <v>150</v>
      </c>
      <c r="G67">
        <v>3</v>
      </c>
      <c r="H67" t="str">
        <f>IF(OR(Table1[[#This Row],[R]]&gt;=2,Table1[[#This Row],[Profit]]&gt;500),"GOOD","REVIEW")</f>
        <v>GOOD</v>
      </c>
      <c r="I67">
        <f>IFERROR(Table1[[#This Row],[Profit]]/Table1[[#This Row],[R]],"0")</f>
        <v>50</v>
      </c>
      <c r="J67" t="s">
        <v>12</v>
      </c>
      <c r="K67" s="1">
        <v>46091</v>
      </c>
    </row>
    <row r="68" spans="1:11" x14ac:dyDescent="0.3">
      <c r="A68">
        <v>57</v>
      </c>
      <c r="B68">
        <v>10005</v>
      </c>
      <c r="C68" t="s">
        <v>13</v>
      </c>
      <c r="D68" t="s">
        <v>16</v>
      </c>
      <c r="E68" t="s">
        <v>14</v>
      </c>
      <c r="F68">
        <v>125</v>
      </c>
      <c r="G68">
        <v>2.5</v>
      </c>
      <c r="H68" t="str">
        <f>IF(OR(Table1[[#This Row],[R]]&gt;=2,Table1[[#This Row],[Profit]]&gt;500),"GOOD","REVIEW")</f>
        <v>GOOD</v>
      </c>
      <c r="I68">
        <f>IFERROR(Table1[[#This Row],[Profit]]/Table1[[#This Row],[R]],"0")</f>
        <v>50</v>
      </c>
      <c r="J68" t="s">
        <v>12</v>
      </c>
      <c r="K68" s="1">
        <v>46076</v>
      </c>
    </row>
    <row r="69" spans="1:11" x14ac:dyDescent="0.3">
      <c r="A69">
        <v>4</v>
      </c>
      <c r="B69">
        <v>10002</v>
      </c>
      <c r="C69" t="s">
        <v>13</v>
      </c>
      <c r="D69" t="s">
        <v>16</v>
      </c>
      <c r="E69" t="s">
        <v>11</v>
      </c>
      <c r="F69">
        <v>100</v>
      </c>
      <c r="G69">
        <v>2</v>
      </c>
      <c r="H69" t="str">
        <f>IF(OR(Table1[[#This Row],[R]]&gt;=2,Table1[[#This Row],[Profit]]&gt;500),"GOOD","REVIEW")</f>
        <v>GOOD</v>
      </c>
      <c r="I69">
        <f>IFERROR(Table1[[#This Row],[Profit]]/Table1[[#This Row],[R]],"0")</f>
        <v>50</v>
      </c>
      <c r="J69" t="s">
        <v>12</v>
      </c>
      <c r="K69" s="1">
        <v>46205</v>
      </c>
    </row>
    <row r="70" spans="1:11" x14ac:dyDescent="0.3">
      <c r="A70">
        <v>27</v>
      </c>
      <c r="B70">
        <v>10006</v>
      </c>
      <c r="C70" t="s">
        <v>13</v>
      </c>
      <c r="D70" t="s">
        <v>16</v>
      </c>
      <c r="E70" t="s">
        <v>11</v>
      </c>
      <c r="F70">
        <v>50</v>
      </c>
      <c r="G70">
        <v>1</v>
      </c>
      <c r="H70" t="str">
        <f>IF(OR(Table1[[#This Row],[R]]&gt;=2,Table1[[#This Row],[Profit]]&gt;500),"GOOD","REVIEW")</f>
        <v>REVIEW</v>
      </c>
      <c r="I70">
        <f>IFERROR(Table1[[#This Row],[Profit]]/Table1[[#This Row],[R]],"0")</f>
        <v>50</v>
      </c>
      <c r="J70" t="s">
        <v>12</v>
      </c>
      <c r="K70" s="1">
        <v>46117</v>
      </c>
    </row>
    <row r="71" spans="1:11" x14ac:dyDescent="0.3">
      <c r="A71">
        <v>72</v>
      </c>
      <c r="B71">
        <v>10004</v>
      </c>
      <c r="C71" t="s">
        <v>13</v>
      </c>
      <c r="D71" t="s">
        <v>10</v>
      </c>
      <c r="E71" t="s">
        <v>14</v>
      </c>
      <c r="F71">
        <v>50</v>
      </c>
      <c r="G71">
        <v>1</v>
      </c>
      <c r="H71" t="str">
        <f>IF(OR(Table1[[#This Row],[R]]&gt;=2,Table1[[#This Row],[Profit]]&gt;500),"GOOD","REVIEW")</f>
        <v>REVIEW</v>
      </c>
      <c r="I71">
        <f>IFERROR(Table1[[#This Row],[Profit]]/Table1[[#This Row],[R]],"0")</f>
        <v>50</v>
      </c>
      <c r="J71" t="s">
        <v>12</v>
      </c>
      <c r="K71" s="1">
        <v>46069</v>
      </c>
    </row>
    <row r="72" spans="1:11" x14ac:dyDescent="0.3">
      <c r="A72">
        <v>75</v>
      </c>
      <c r="B72">
        <v>10003</v>
      </c>
      <c r="C72" t="s">
        <v>13</v>
      </c>
      <c r="D72" t="s">
        <v>10</v>
      </c>
      <c r="E72" t="s">
        <v>14</v>
      </c>
      <c r="F72">
        <v>50</v>
      </c>
      <c r="G72">
        <v>1</v>
      </c>
      <c r="H72" t="str">
        <f>IF(OR(Table1[[#This Row],[R]]&gt;=2,Table1[[#This Row],[Profit]]&gt;500),"GOOD","REVIEW")</f>
        <v>REVIEW</v>
      </c>
      <c r="I72">
        <f>IFERROR(Table1[[#This Row],[Profit]]/Table1[[#This Row],[R]],"0")</f>
        <v>50</v>
      </c>
      <c r="J72" t="s">
        <v>12</v>
      </c>
      <c r="K72" s="1">
        <v>46047</v>
      </c>
    </row>
    <row r="73" spans="1:11" x14ac:dyDescent="0.3">
      <c r="A73">
        <v>17</v>
      </c>
      <c r="B73">
        <v>10005</v>
      </c>
      <c r="C73" t="s">
        <v>13</v>
      </c>
      <c r="D73" t="s">
        <v>10</v>
      </c>
      <c r="E73" t="s">
        <v>11</v>
      </c>
      <c r="F73">
        <v>-75</v>
      </c>
      <c r="G73">
        <v>-1.5</v>
      </c>
      <c r="H73" t="str">
        <f>IF(OR(Table1[[#This Row],[R]]&gt;=2,Table1[[#This Row],[Profit]]&gt;500),"GOOD","REVIEW")</f>
        <v>REVIEW</v>
      </c>
      <c r="I73">
        <f>IFERROR(Table1[[#This Row],[Profit]]/Table1[[#This Row],[R]],"0")</f>
        <v>50</v>
      </c>
      <c r="J73" t="s">
        <v>17</v>
      </c>
      <c r="K73" s="1">
        <v>46067</v>
      </c>
    </row>
    <row r="74" spans="1:11" x14ac:dyDescent="0.3">
      <c r="A74">
        <v>53</v>
      </c>
      <c r="B74">
        <v>10004</v>
      </c>
      <c r="C74" t="s">
        <v>13</v>
      </c>
      <c r="D74" t="s">
        <v>16</v>
      </c>
      <c r="E74" t="s">
        <v>11</v>
      </c>
      <c r="F74">
        <v>-75</v>
      </c>
      <c r="G74">
        <v>-1.5</v>
      </c>
      <c r="H74" t="str">
        <f>IF(OR(Table1[[#This Row],[R]]&gt;=2,Table1[[#This Row],[Profit]]&gt;500),"GOOD","REVIEW")</f>
        <v>REVIEW</v>
      </c>
      <c r="I74">
        <f>IFERROR(Table1[[#This Row],[Profit]]/Table1[[#This Row],[R]],"0")</f>
        <v>50</v>
      </c>
      <c r="J74" t="s">
        <v>17</v>
      </c>
      <c r="K74" s="1">
        <v>46054</v>
      </c>
    </row>
    <row r="75" spans="1:11" x14ac:dyDescent="0.3">
      <c r="A75">
        <v>21</v>
      </c>
      <c r="B75">
        <v>10005</v>
      </c>
      <c r="C75" t="s">
        <v>13</v>
      </c>
      <c r="D75" t="s">
        <v>10</v>
      </c>
      <c r="E75" t="s">
        <v>11</v>
      </c>
      <c r="F75">
        <v>-100</v>
      </c>
      <c r="G75">
        <v>-1</v>
      </c>
      <c r="H75" t="str">
        <f>IF(OR(Table1[[#This Row],[R]]&gt;=2,Table1[[#This Row],[Profit]]&gt;500),"GOOD","REVIEW")</f>
        <v>REVIEW</v>
      </c>
      <c r="I75">
        <f>IFERROR(Table1[[#This Row],[Profit]]/Table1[[#This Row],[R]],"0")</f>
        <v>100</v>
      </c>
      <c r="J75" t="s">
        <v>17</v>
      </c>
      <c r="K75" s="1">
        <v>46059</v>
      </c>
    </row>
    <row r="76" spans="1:11" x14ac:dyDescent="0.3">
      <c r="A76">
        <v>48</v>
      </c>
      <c r="B76">
        <v>10006</v>
      </c>
      <c r="C76" t="s">
        <v>13</v>
      </c>
      <c r="D76" t="s">
        <v>10</v>
      </c>
      <c r="E76" t="s">
        <v>14</v>
      </c>
      <c r="F76">
        <v>-100</v>
      </c>
      <c r="G76">
        <v>-1</v>
      </c>
      <c r="H76" t="str">
        <f>IF(OR(Table1[[#This Row],[R]]&gt;=2,Table1[[#This Row],[Profit]]&gt;500),"GOOD","REVIEW")</f>
        <v>REVIEW</v>
      </c>
      <c r="I76">
        <f>IFERROR(Table1[[#This Row],[Profit]]/Table1[[#This Row],[R]],"0")</f>
        <v>100</v>
      </c>
      <c r="J76" t="s">
        <v>17</v>
      </c>
      <c r="K76" s="1">
        <v>46072</v>
      </c>
    </row>
    <row r="77" spans="1:11" x14ac:dyDescent="0.3">
      <c r="A77">
        <v>83</v>
      </c>
      <c r="B77">
        <v>10002</v>
      </c>
      <c r="C77" t="s">
        <v>13</v>
      </c>
      <c r="D77" t="s">
        <v>16</v>
      </c>
      <c r="E77" t="s">
        <v>11</v>
      </c>
      <c r="F77">
        <v>-100</v>
      </c>
      <c r="G77">
        <v>-0.5</v>
      </c>
      <c r="H77" t="str">
        <f>IF(OR(Table1[[#This Row],[R]]&gt;=2,Table1[[#This Row],[Profit]]&gt;500),"GOOD","REVIEW")</f>
        <v>REVIEW</v>
      </c>
      <c r="I77">
        <f>IFERROR(Table1[[#This Row],[Profit]]/Table1[[#This Row],[R]],"0")</f>
        <v>200</v>
      </c>
      <c r="J77" t="s">
        <v>17</v>
      </c>
      <c r="K77" s="1">
        <v>46146</v>
      </c>
    </row>
    <row r="78" spans="1:11" x14ac:dyDescent="0.3">
      <c r="A78">
        <v>5</v>
      </c>
      <c r="B78">
        <v>10003</v>
      </c>
      <c r="C78" t="s">
        <v>13</v>
      </c>
      <c r="D78" t="s">
        <v>10</v>
      </c>
      <c r="E78" t="s">
        <v>11</v>
      </c>
      <c r="F78">
        <v>-125</v>
      </c>
      <c r="G78">
        <v>-0.5</v>
      </c>
      <c r="H78" t="str">
        <f>IF(OR(Table1[[#This Row],[R]]&gt;=2,Table1[[#This Row],[Profit]]&gt;500),"GOOD","REVIEW")</f>
        <v>REVIEW</v>
      </c>
      <c r="I78">
        <f>IFERROR(Table1[[#This Row],[Profit]]/Table1[[#This Row],[R]],"0")</f>
        <v>250</v>
      </c>
      <c r="J78" t="s">
        <v>17</v>
      </c>
      <c r="K78" s="1">
        <v>46050</v>
      </c>
    </row>
    <row r="79" spans="1:11" x14ac:dyDescent="0.3">
      <c r="A79">
        <v>31</v>
      </c>
      <c r="B79">
        <v>10004</v>
      </c>
      <c r="C79" t="s">
        <v>13</v>
      </c>
      <c r="D79" t="s">
        <v>16</v>
      </c>
      <c r="E79" t="s">
        <v>14</v>
      </c>
      <c r="F79">
        <v>-125</v>
      </c>
      <c r="G79">
        <v>-0.5</v>
      </c>
      <c r="H79" t="str">
        <f>IF(OR(Table1[[#This Row],[R]]&gt;=2,Table1[[#This Row],[Profit]]&gt;500),"GOOD","REVIEW")</f>
        <v>REVIEW</v>
      </c>
      <c r="I79">
        <f>IFERROR(Table1[[#This Row],[Profit]]/Table1[[#This Row],[R]],"0")</f>
        <v>250</v>
      </c>
      <c r="J79" t="s">
        <v>17</v>
      </c>
      <c r="K79" s="1">
        <v>46131</v>
      </c>
    </row>
    <row r="80" spans="1:11" x14ac:dyDescent="0.3">
      <c r="A80">
        <v>96</v>
      </c>
      <c r="B80">
        <v>10003</v>
      </c>
      <c r="C80" t="s">
        <v>13</v>
      </c>
      <c r="D80" t="s">
        <v>16</v>
      </c>
      <c r="E80" t="s">
        <v>11</v>
      </c>
      <c r="F80">
        <v>-200</v>
      </c>
      <c r="G80">
        <v>-1</v>
      </c>
      <c r="H80" t="str">
        <f>IF(OR(Table1[[#This Row],[R]]&gt;=2,Table1[[#This Row],[Profit]]&gt;500),"GOOD","REVIEW")</f>
        <v>REVIEW</v>
      </c>
      <c r="I80">
        <f>IFERROR(Table1[[#This Row],[Profit]]/Table1[[#This Row],[R]],"0")</f>
        <v>200</v>
      </c>
      <c r="J80" t="s">
        <v>17</v>
      </c>
      <c r="K80" s="1">
        <v>46160</v>
      </c>
    </row>
    <row r="81" spans="1:11" x14ac:dyDescent="0.3">
      <c r="A81">
        <v>64</v>
      </c>
      <c r="B81">
        <v>10005</v>
      </c>
      <c r="C81" t="s">
        <v>13</v>
      </c>
      <c r="D81" t="s">
        <v>16</v>
      </c>
      <c r="E81" t="s">
        <v>11</v>
      </c>
      <c r="F81">
        <v>-375</v>
      </c>
      <c r="G81">
        <v>-1.5</v>
      </c>
      <c r="H81" t="str">
        <f>IF(OR(Table1[[#This Row],[R]]&gt;=2,Table1[[#This Row],[Profit]]&gt;500),"GOOD","REVIEW")</f>
        <v>REVIEW</v>
      </c>
      <c r="I81">
        <f>IFERROR(Table1[[#This Row],[Profit]]/Table1[[#This Row],[R]],"0")</f>
        <v>250</v>
      </c>
      <c r="J81" t="s">
        <v>17</v>
      </c>
      <c r="K81" s="1">
        <v>46061</v>
      </c>
    </row>
    <row r="82" spans="1:11" x14ac:dyDescent="0.3">
      <c r="A82">
        <v>81</v>
      </c>
      <c r="B82">
        <v>10004</v>
      </c>
      <c r="C82" t="s">
        <v>13</v>
      </c>
      <c r="D82" t="s">
        <v>16</v>
      </c>
      <c r="E82" t="s">
        <v>14</v>
      </c>
      <c r="F82">
        <v>-375</v>
      </c>
      <c r="G82">
        <v>-1.5</v>
      </c>
      <c r="H82" t="str">
        <f>IF(OR(Table1[[#This Row],[R]]&gt;=2,Table1[[#This Row],[Profit]]&gt;500),"GOOD","REVIEW")</f>
        <v>REVIEW</v>
      </c>
      <c r="I82">
        <f>IFERROR(Table1[[#This Row],[Profit]]/Table1[[#This Row],[R]],"0")</f>
        <v>250</v>
      </c>
      <c r="J82" t="s">
        <v>17</v>
      </c>
      <c r="K82" s="1">
        <v>46030</v>
      </c>
    </row>
    <row r="83" spans="1:11" x14ac:dyDescent="0.3">
      <c r="A83">
        <v>82</v>
      </c>
      <c r="B83">
        <v>10005</v>
      </c>
      <c r="C83" t="s">
        <v>13</v>
      </c>
      <c r="D83" t="s">
        <v>10</v>
      </c>
      <c r="E83" t="s">
        <v>11</v>
      </c>
      <c r="F83">
        <v>-375</v>
      </c>
      <c r="G83">
        <v>-1.5</v>
      </c>
      <c r="H83" t="str">
        <f>IF(OR(Table1[[#This Row],[R]]&gt;=2,Table1[[#This Row],[Profit]]&gt;500),"GOOD","REVIEW")</f>
        <v>REVIEW</v>
      </c>
      <c r="I83">
        <f>IFERROR(Table1[[#This Row],[Profit]]/Table1[[#This Row],[R]],"0")</f>
        <v>250</v>
      </c>
      <c r="J83" t="s">
        <v>17</v>
      </c>
      <c r="K83" s="1">
        <v>46066</v>
      </c>
    </row>
    <row r="84" spans="1:11" x14ac:dyDescent="0.3">
      <c r="A84">
        <v>90</v>
      </c>
      <c r="B84">
        <v>10002</v>
      </c>
      <c r="C84" t="s">
        <v>18</v>
      </c>
      <c r="D84" t="s">
        <v>10</v>
      </c>
      <c r="E84" t="s">
        <v>14</v>
      </c>
      <c r="F84">
        <v>500</v>
      </c>
      <c r="G84">
        <v>2.5</v>
      </c>
      <c r="H84" t="str">
        <f>IF(OR(Table1[[#This Row],[R]]&gt;=2,Table1[[#This Row],[Profit]]&gt;500),"GOOD","REVIEW")</f>
        <v>GOOD</v>
      </c>
      <c r="I84">
        <f>IFERROR(Table1[[#This Row],[Profit]]/Table1[[#This Row],[R]],"0")</f>
        <v>200</v>
      </c>
      <c r="J84" t="s">
        <v>12</v>
      </c>
      <c r="K84" s="1">
        <v>46076</v>
      </c>
    </row>
    <row r="85" spans="1:11" x14ac:dyDescent="0.3">
      <c r="A85">
        <v>50</v>
      </c>
      <c r="B85">
        <v>10002</v>
      </c>
      <c r="C85" t="s">
        <v>18</v>
      </c>
      <c r="D85" t="s">
        <v>16</v>
      </c>
      <c r="E85" t="s">
        <v>14</v>
      </c>
      <c r="F85">
        <v>375</v>
      </c>
      <c r="G85">
        <v>1.5</v>
      </c>
      <c r="H85" t="str">
        <f>IF(OR(Table1[[#This Row],[R]]&gt;=2,Table1[[#This Row],[Profit]]&gt;500),"GOOD","REVIEW")</f>
        <v>REVIEW</v>
      </c>
      <c r="I85">
        <f>IFERROR(Table1[[#This Row],[Profit]]/Table1[[#This Row],[R]],"0")</f>
        <v>250</v>
      </c>
      <c r="J85" t="s">
        <v>12</v>
      </c>
      <c r="K85" s="1">
        <v>46144</v>
      </c>
    </row>
    <row r="86" spans="1:11" x14ac:dyDescent="0.3">
      <c r="A86">
        <v>91</v>
      </c>
      <c r="B86">
        <v>10003</v>
      </c>
      <c r="C86" t="s">
        <v>18</v>
      </c>
      <c r="D86" t="s">
        <v>10</v>
      </c>
      <c r="E86" t="s">
        <v>14</v>
      </c>
      <c r="F86">
        <v>300</v>
      </c>
      <c r="G86">
        <v>1.5</v>
      </c>
      <c r="H86" t="str">
        <f>IF(OR(Table1[[#This Row],[R]]&gt;=2,Table1[[#This Row],[Profit]]&gt;500),"GOOD","REVIEW")</f>
        <v>REVIEW</v>
      </c>
      <c r="I86">
        <f>IFERROR(Table1[[#This Row],[Profit]]/Table1[[#This Row],[R]],"0")</f>
        <v>200</v>
      </c>
      <c r="J86" t="s">
        <v>12</v>
      </c>
      <c r="K86" s="1">
        <v>46177</v>
      </c>
    </row>
    <row r="87" spans="1:11" x14ac:dyDescent="0.3">
      <c r="A87">
        <v>28</v>
      </c>
      <c r="B87">
        <v>10002</v>
      </c>
      <c r="C87" t="s">
        <v>18</v>
      </c>
      <c r="D87" t="s">
        <v>10</v>
      </c>
      <c r="E87" t="s">
        <v>14</v>
      </c>
      <c r="F87">
        <v>250</v>
      </c>
      <c r="G87">
        <v>2.5</v>
      </c>
      <c r="H87" t="str">
        <f>IF(OR(Table1[[#This Row],[R]]&gt;=2,Table1[[#This Row],[Profit]]&gt;500),"GOOD","REVIEW")</f>
        <v>GOOD</v>
      </c>
      <c r="I87">
        <f>IFERROR(Table1[[#This Row],[Profit]]/Table1[[#This Row],[R]],"0")</f>
        <v>100</v>
      </c>
      <c r="J87" t="s">
        <v>12</v>
      </c>
      <c r="K87" s="1">
        <v>46130</v>
      </c>
    </row>
    <row r="88" spans="1:11" x14ac:dyDescent="0.3">
      <c r="A88">
        <v>67</v>
      </c>
      <c r="B88">
        <v>10002</v>
      </c>
      <c r="C88" t="s">
        <v>18</v>
      </c>
      <c r="D88" t="s">
        <v>16</v>
      </c>
      <c r="E88" t="s">
        <v>14</v>
      </c>
      <c r="F88">
        <v>250</v>
      </c>
      <c r="G88">
        <v>2.5</v>
      </c>
      <c r="H88" t="str">
        <f>IF(OR(Table1[[#This Row],[R]]&gt;=2,Table1[[#This Row],[Profit]]&gt;500),"GOOD","REVIEW")</f>
        <v>GOOD</v>
      </c>
      <c r="I88">
        <f>IFERROR(Table1[[#This Row],[Profit]]/Table1[[#This Row],[R]],"0")</f>
        <v>100</v>
      </c>
      <c r="J88" t="s">
        <v>12</v>
      </c>
      <c r="K88" s="1">
        <v>46096</v>
      </c>
    </row>
    <row r="89" spans="1:11" x14ac:dyDescent="0.3">
      <c r="A89">
        <v>60</v>
      </c>
      <c r="B89">
        <v>10006</v>
      </c>
      <c r="C89" t="s">
        <v>18</v>
      </c>
      <c r="D89" t="s">
        <v>10</v>
      </c>
      <c r="E89" t="s">
        <v>14</v>
      </c>
      <c r="F89">
        <v>150</v>
      </c>
      <c r="G89">
        <v>1.5</v>
      </c>
      <c r="H89" t="str">
        <f>IF(OR(Table1[[#This Row],[R]]&gt;=2,Table1[[#This Row],[Profit]]&gt;500),"GOOD","REVIEW")</f>
        <v>REVIEW</v>
      </c>
      <c r="I89">
        <f>IFERROR(Table1[[#This Row],[Profit]]/Table1[[#This Row],[R]],"0")</f>
        <v>100</v>
      </c>
      <c r="J89" t="s">
        <v>12</v>
      </c>
      <c r="K89" s="1">
        <v>46158</v>
      </c>
    </row>
    <row r="90" spans="1:11" x14ac:dyDescent="0.3">
      <c r="A90">
        <v>41</v>
      </c>
      <c r="B90">
        <v>10003</v>
      </c>
      <c r="C90" t="s">
        <v>18</v>
      </c>
      <c r="D90" t="s">
        <v>10</v>
      </c>
      <c r="E90" t="s">
        <v>14</v>
      </c>
      <c r="F90">
        <v>100</v>
      </c>
      <c r="G90">
        <v>1</v>
      </c>
      <c r="H90" t="str">
        <f>IF(OR(Table1[[#This Row],[R]]&gt;=2,Table1[[#This Row],[Profit]]&gt;500),"GOOD","REVIEW")</f>
        <v>REVIEW</v>
      </c>
      <c r="I90">
        <f>IFERROR(Table1[[#This Row],[Profit]]/Table1[[#This Row],[R]],"0")</f>
        <v>100</v>
      </c>
      <c r="J90" t="s">
        <v>12</v>
      </c>
      <c r="K90" s="1">
        <v>46197</v>
      </c>
    </row>
    <row r="91" spans="1:11" x14ac:dyDescent="0.3">
      <c r="A91">
        <v>89</v>
      </c>
      <c r="B91">
        <v>10003</v>
      </c>
      <c r="C91" t="s">
        <v>18</v>
      </c>
      <c r="D91" t="s">
        <v>16</v>
      </c>
      <c r="E91" t="s">
        <v>11</v>
      </c>
      <c r="F91">
        <v>75</v>
      </c>
      <c r="G91">
        <v>1.5</v>
      </c>
      <c r="H91" t="str">
        <f>IF(OR(Table1[[#This Row],[R]]&gt;=2,Table1[[#This Row],[Profit]]&gt;500),"GOOD","REVIEW")</f>
        <v>REVIEW</v>
      </c>
      <c r="I91">
        <f>IFERROR(Table1[[#This Row],[Profit]]/Table1[[#This Row],[R]],"0")</f>
        <v>50</v>
      </c>
      <c r="J91" t="s">
        <v>12</v>
      </c>
      <c r="K91" s="1">
        <v>46167</v>
      </c>
    </row>
    <row r="92" spans="1:11" x14ac:dyDescent="0.3">
      <c r="A92">
        <v>25</v>
      </c>
      <c r="B92">
        <v>10003</v>
      </c>
      <c r="C92" t="s">
        <v>18</v>
      </c>
      <c r="D92" t="s">
        <v>10</v>
      </c>
      <c r="E92" t="s">
        <v>14</v>
      </c>
      <c r="F92">
        <v>-50</v>
      </c>
      <c r="G92">
        <v>-0.5</v>
      </c>
      <c r="H92" t="str">
        <f>IF(OR(Table1[[#This Row],[R]]&gt;=2,Table1[[#This Row],[Profit]]&gt;500),"GOOD","REVIEW")</f>
        <v>REVIEW</v>
      </c>
      <c r="I92">
        <f>IFERROR(Table1[[#This Row],[Profit]]/Table1[[#This Row],[R]],"0")</f>
        <v>100</v>
      </c>
      <c r="J92" t="s">
        <v>17</v>
      </c>
      <c r="K92" s="1">
        <v>46035</v>
      </c>
    </row>
    <row r="93" spans="1:11" x14ac:dyDescent="0.3">
      <c r="A93">
        <v>9</v>
      </c>
      <c r="B93">
        <v>10006</v>
      </c>
      <c r="C93" t="s">
        <v>18</v>
      </c>
      <c r="D93" t="s">
        <v>10</v>
      </c>
      <c r="E93" t="s">
        <v>11</v>
      </c>
      <c r="F93">
        <v>-75</v>
      </c>
      <c r="G93">
        <v>-1.5</v>
      </c>
      <c r="H93" t="str">
        <f>IF(OR(Table1[[#This Row],[R]]&gt;=2,Table1[[#This Row],[Profit]]&gt;500),"GOOD","REVIEW")</f>
        <v>REVIEW</v>
      </c>
      <c r="I93">
        <f>IFERROR(Table1[[#This Row],[Profit]]/Table1[[#This Row],[R]],"0")</f>
        <v>50</v>
      </c>
      <c r="J93" t="s">
        <v>17</v>
      </c>
      <c r="K93" s="1">
        <v>46121</v>
      </c>
    </row>
    <row r="94" spans="1:11" x14ac:dyDescent="0.3">
      <c r="A94">
        <v>18</v>
      </c>
      <c r="B94">
        <v>10003</v>
      </c>
      <c r="C94" t="s">
        <v>18</v>
      </c>
      <c r="D94" t="s">
        <v>10</v>
      </c>
      <c r="E94" t="s">
        <v>14</v>
      </c>
      <c r="F94">
        <v>-75</v>
      </c>
      <c r="G94">
        <v>-1.5</v>
      </c>
      <c r="H94" t="str">
        <f>IF(OR(Table1[[#This Row],[R]]&gt;=2,Table1[[#This Row],[Profit]]&gt;500),"GOOD","REVIEW")</f>
        <v>REVIEW</v>
      </c>
      <c r="I94">
        <f>IFERROR(Table1[[#This Row],[Profit]]/Table1[[#This Row],[R]],"0")</f>
        <v>50</v>
      </c>
      <c r="J94" t="s">
        <v>17</v>
      </c>
      <c r="K94" s="1">
        <v>46187</v>
      </c>
    </row>
    <row r="95" spans="1:11" x14ac:dyDescent="0.3">
      <c r="A95">
        <v>44</v>
      </c>
      <c r="B95">
        <v>10005</v>
      </c>
      <c r="C95" t="s">
        <v>18</v>
      </c>
      <c r="D95" t="s">
        <v>10</v>
      </c>
      <c r="E95" t="s">
        <v>11</v>
      </c>
      <c r="F95">
        <v>-75</v>
      </c>
      <c r="G95">
        <v>-1.5</v>
      </c>
      <c r="H95" t="str">
        <f>IF(OR(Table1[[#This Row],[R]]&gt;=2,Table1[[#This Row],[Profit]]&gt;500),"GOOD","REVIEW")</f>
        <v>REVIEW</v>
      </c>
      <c r="I95">
        <f>IFERROR(Table1[[#This Row],[Profit]]/Table1[[#This Row],[R]],"0")</f>
        <v>50</v>
      </c>
      <c r="J95" t="s">
        <v>17</v>
      </c>
      <c r="K95" s="1">
        <v>46190</v>
      </c>
    </row>
    <row r="96" spans="1:11" x14ac:dyDescent="0.3">
      <c r="A96">
        <v>19</v>
      </c>
      <c r="B96">
        <v>10001</v>
      </c>
      <c r="C96" t="s">
        <v>18</v>
      </c>
      <c r="D96" t="s">
        <v>16</v>
      </c>
      <c r="E96" t="s">
        <v>14</v>
      </c>
      <c r="F96">
        <v>-100</v>
      </c>
      <c r="G96">
        <v>-1</v>
      </c>
      <c r="H96" t="str">
        <f>IF(OR(Table1[[#This Row],[R]]&gt;=2,Table1[[#This Row],[Profit]]&gt;500),"GOOD","REVIEW")</f>
        <v>REVIEW</v>
      </c>
      <c r="I96">
        <f>IFERROR(Table1[[#This Row],[Profit]]/Table1[[#This Row],[R]],"0")</f>
        <v>100</v>
      </c>
      <c r="J96" t="s">
        <v>17</v>
      </c>
      <c r="K96" s="1">
        <v>46180</v>
      </c>
    </row>
    <row r="97" spans="1:11" x14ac:dyDescent="0.3">
      <c r="A97">
        <v>56</v>
      </c>
      <c r="B97">
        <v>10004</v>
      </c>
      <c r="C97" t="s">
        <v>18</v>
      </c>
      <c r="D97" t="s">
        <v>16</v>
      </c>
      <c r="E97" t="s">
        <v>11</v>
      </c>
      <c r="F97">
        <v>-150</v>
      </c>
      <c r="G97">
        <v>-1.5</v>
      </c>
      <c r="H97" t="str">
        <f>IF(OR(Table1[[#This Row],[R]]&gt;=2,Table1[[#This Row],[Profit]]&gt;500),"GOOD","REVIEW")</f>
        <v>REVIEW</v>
      </c>
      <c r="I97">
        <f>IFERROR(Table1[[#This Row],[Profit]]/Table1[[#This Row],[R]],"0")</f>
        <v>100</v>
      </c>
      <c r="J97" t="s">
        <v>17</v>
      </c>
      <c r="K97" s="1">
        <v>46156</v>
      </c>
    </row>
    <row r="98" spans="1:11" x14ac:dyDescent="0.3">
      <c r="A98">
        <v>11</v>
      </c>
      <c r="B98">
        <v>10001</v>
      </c>
      <c r="C98" t="s">
        <v>18</v>
      </c>
      <c r="D98" t="s">
        <v>10</v>
      </c>
      <c r="E98" t="s">
        <v>14</v>
      </c>
      <c r="F98">
        <v>-200</v>
      </c>
      <c r="G98">
        <v>-1</v>
      </c>
      <c r="H98" t="str">
        <f>IF(OR(Table1[[#This Row],[R]]&gt;=2,Table1[[#This Row],[Profit]]&gt;500),"GOOD","REVIEW")</f>
        <v>REVIEW</v>
      </c>
      <c r="I98">
        <f>IFERROR(Table1[[#This Row],[Profit]]/Table1[[#This Row],[R]],"0")</f>
        <v>200</v>
      </c>
      <c r="J98" t="s">
        <v>17</v>
      </c>
      <c r="K98" s="1">
        <v>46202</v>
      </c>
    </row>
    <row r="99" spans="1:11" x14ac:dyDescent="0.3">
      <c r="A99">
        <v>51</v>
      </c>
      <c r="B99">
        <v>10003</v>
      </c>
      <c r="C99" t="s">
        <v>18</v>
      </c>
      <c r="D99" t="s">
        <v>10</v>
      </c>
      <c r="E99" t="s">
        <v>11</v>
      </c>
      <c r="F99">
        <v>-200</v>
      </c>
      <c r="G99">
        <v>-1</v>
      </c>
      <c r="H99" t="str">
        <f>IF(OR(Table1[[#This Row],[R]]&gt;=2,Table1[[#This Row],[Profit]]&gt;500),"GOOD","REVIEW")</f>
        <v>REVIEW</v>
      </c>
      <c r="I99">
        <f>IFERROR(Table1[[#This Row],[Profit]]/Table1[[#This Row],[R]],"0")</f>
        <v>200</v>
      </c>
      <c r="J99" t="s">
        <v>17</v>
      </c>
      <c r="K99" s="1">
        <v>46111</v>
      </c>
    </row>
    <row r="100" spans="1:11" x14ac:dyDescent="0.3">
      <c r="A100">
        <v>42</v>
      </c>
      <c r="B100">
        <v>10002</v>
      </c>
      <c r="C100" t="s">
        <v>18</v>
      </c>
      <c r="D100" t="s">
        <v>10</v>
      </c>
      <c r="E100" t="s">
        <v>11</v>
      </c>
      <c r="F100">
        <v>-250</v>
      </c>
      <c r="G100">
        <v>-1</v>
      </c>
      <c r="H100" t="str">
        <f>IF(OR(Table1[[#This Row],[R]]&gt;=2,Table1[[#This Row],[Profit]]&gt;500),"GOOD","REVIEW")</f>
        <v>REVIEW</v>
      </c>
      <c r="I100">
        <f>IFERROR(Table1[[#This Row],[Profit]]/Table1[[#This Row],[R]],"0")</f>
        <v>250</v>
      </c>
      <c r="J100" t="s">
        <v>17</v>
      </c>
      <c r="K100" s="1">
        <v>46096</v>
      </c>
    </row>
    <row r="101" spans="1:11" x14ac:dyDescent="0.3">
      <c r="A101">
        <v>58</v>
      </c>
      <c r="B101">
        <v>10005</v>
      </c>
      <c r="C101" t="s">
        <v>18</v>
      </c>
      <c r="D101" t="s">
        <v>10</v>
      </c>
      <c r="E101" t="s">
        <v>11</v>
      </c>
      <c r="F101">
        <v>-250</v>
      </c>
      <c r="G101">
        <v>-1</v>
      </c>
      <c r="H101" t="str">
        <f>IF(OR(Table1[[#This Row],[R]]&gt;=2,Table1[[#This Row],[Profit]]&gt;500),"GOOD","REVIEW")</f>
        <v>REVIEW</v>
      </c>
      <c r="I101">
        <f>IFERROR(Table1[[#This Row],[Profit]]/Table1[[#This Row],[R]],"0")</f>
        <v>250</v>
      </c>
      <c r="J101" t="s">
        <v>17</v>
      </c>
      <c r="K101" s="1">
        <v>46104</v>
      </c>
    </row>
  </sheetData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1151-4306-4E94-877E-3E0A5CCF7860}">
  <dimension ref="A4:K24"/>
  <sheetViews>
    <sheetView workbookViewId="0">
      <selection activeCell="O23" sqref="O23"/>
    </sheetView>
  </sheetViews>
  <sheetFormatPr defaultRowHeight="14.4" x14ac:dyDescent="0.3"/>
  <cols>
    <col min="8" max="8" width="14.44140625" customWidth="1"/>
  </cols>
  <sheetData>
    <row r="4" spans="1:11" x14ac:dyDescent="0.3">
      <c r="A4" s="24" t="s">
        <v>81</v>
      </c>
      <c r="B4" s="24" t="s">
        <v>82</v>
      </c>
      <c r="C4" s="24" t="s">
        <v>83</v>
      </c>
    </row>
    <row r="5" spans="1:11" x14ac:dyDescent="0.3">
      <c r="A5" s="2" t="s">
        <v>84</v>
      </c>
      <c r="B5" s="2">
        <v>12</v>
      </c>
      <c r="C5" s="2" t="str">
        <f>IF(B5&gt;20,"kbir","sghir")</f>
        <v>sghir</v>
      </c>
    </row>
    <row r="6" spans="1:11" x14ac:dyDescent="0.3">
      <c r="A6" s="2" t="s">
        <v>85</v>
      </c>
      <c r="B6" s="2">
        <v>13</v>
      </c>
      <c r="C6" s="2" t="str">
        <f t="shared" ref="C6:C13" si="0">IF(B6&gt;20,"kbir","sghir")</f>
        <v>sghir</v>
      </c>
    </row>
    <row r="7" spans="1:11" x14ac:dyDescent="0.3">
      <c r="A7" s="2" t="s">
        <v>86</v>
      </c>
      <c r="B7" s="2">
        <v>27</v>
      </c>
      <c r="C7" s="2" t="str">
        <f t="shared" si="0"/>
        <v>kbir</v>
      </c>
      <c r="G7" s="29" t="s">
        <v>95</v>
      </c>
      <c r="H7" s="29"/>
      <c r="I7" s="29" t="s">
        <v>96</v>
      </c>
      <c r="J7" s="29"/>
      <c r="K7" s="29"/>
    </row>
    <row r="8" spans="1:11" x14ac:dyDescent="0.3">
      <c r="A8" s="2" t="s">
        <v>87</v>
      </c>
      <c r="B8" s="2">
        <v>38</v>
      </c>
      <c r="C8" s="2" t="str">
        <f t="shared" si="0"/>
        <v>kbir</v>
      </c>
    </row>
    <row r="9" spans="1:11" x14ac:dyDescent="0.3">
      <c r="A9" s="2" t="s">
        <v>88</v>
      </c>
      <c r="B9" s="2">
        <v>39</v>
      </c>
      <c r="C9" s="2" t="str">
        <f t="shared" si="0"/>
        <v>kbir</v>
      </c>
      <c r="G9" s="24" t="s">
        <v>93</v>
      </c>
      <c r="H9" s="2" t="s">
        <v>83</v>
      </c>
      <c r="J9" s="26" t="s">
        <v>94</v>
      </c>
      <c r="K9" s="2" t="s">
        <v>84</v>
      </c>
    </row>
    <row r="10" spans="1:11" x14ac:dyDescent="0.3">
      <c r="A10" s="2" t="s">
        <v>89</v>
      </c>
      <c r="B10" s="2">
        <v>26</v>
      </c>
      <c r="C10" s="2" t="str">
        <f t="shared" si="0"/>
        <v>kbir</v>
      </c>
      <c r="G10" s="24" t="s">
        <v>94</v>
      </c>
      <c r="H10" s="2" t="s">
        <v>85</v>
      </c>
      <c r="K10" t="s">
        <v>82</v>
      </c>
    </row>
    <row r="11" spans="1:11" x14ac:dyDescent="0.3">
      <c r="A11" s="2" t="s">
        <v>90</v>
      </c>
      <c r="B11" s="2">
        <v>44</v>
      </c>
      <c r="C11" s="2" t="str">
        <f t="shared" si="0"/>
        <v>kbir</v>
      </c>
    </row>
    <row r="12" spans="1:11" x14ac:dyDescent="0.3">
      <c r="A12" s="2" t="s">
        <v>91</v>
      </c>
      <c r="B12" s="2">
        <v>87</v>
      </c>
      <c r="C12" s="2" t="str">
        <f t="shared" si="0"/>
        <v>kbir</v>
      </c>
      <c r="G12" s="30" t="str">
        <f>HLOOKUP(H9,A4:C13,MATCH(H10,A4:A13,0))</f>
        <v>sghir</v>
      </c>
      <c r="H12" s="30"/>
      <c r="J12" s="30"/>
      <c r="K12" s="30"/>
    </row>
    <row r="13" spans="1:11" x14ac:dyDescent="0.3">
      <c r="A13" s="2" t="s">
        <v>92</v>
      </c>
      <c r="B13" s="2">
        <v>56</v>
      </c>
      <c r="C13" s="2" t="str">
        <f t="shared" si="0"/>
        <v>kbir</v>
      </c>
    </row>
    <row r="15" spans="1:11" x14ac:dyDescent="0.3">
      <c r="J15" s="26" t="s">
        <v>81</v>
      </c>
      <c r="K15" s="26" t="s">
        <v>83</v>
      </c>
    </row>
    <row r="16" spans="1:11" x14ac:dyDescent="0.3">
      <c r="G16" s="25"/>
      <c r="J16" s="2" t="s">
        <v>84</v>
      </c>
      <c r="K16" s="2" t="e">
        <f>VLOOKUP(J16,A5:A13,3,FALSE)</f>
        <v>#REF!</v>
      </c>
    </row>
    <row r="17" spans="10:11" x14ac:dyDescent="0.3">
      <c r="J17" s="2" t="s">
        <v>85</v>
      </c>
      <c r="K17" s="2"/>
    </row>
    <row r="18" spans="10:11" x14ac:dyDescent="0.3">
      <c r="J18" s="2" t="s">
        <v>86</v>
      </c>
      <c r="K18" s="2"/>
    </row>
    <row r="19" spans="10:11" x14ac:dyDescent="0.3">
      <c r="J19" s="2" t="s">
        <v>87</v>
      </c>
      <c r="K19" s="2"/>
    </row>
    <row r="20" spans="10:11" x14ac:dyDescent="0.3">
      <c r="J20" s="2" t="s">
        <v>88</v>
      </c>
      <c r="K20" s="2"/>
    </row>
    <row r="21" spans="10:11" x14ac:dyDescent="0.3">
      <c r="J21" s="2" t="s">
        <v>89</v>
      </c>
      <c r="K21" s="2"/>
    </row>
    <row r="22" spans="10:11" x14ac:dyDescent="0.3">
      <c r="J22" s="2" t="s">
        <v>90</v>
      </c>
      <c r="K22" s="2"/>
    </row>
    <row r="23" spans="10:11" x14ac:dyDescent="0.3">
      <c r="J23" s="2" t="s">
        <v>91</v>
      </c>
      <c r="K23" s="2"/>
    </row>
    <row r="24" spans="10:11" x14ac:dyDescent="0.3">
      <c r="J24" s="2" t="s">
        <v>92</v>
      </c>
      <c r="K24" s="2"/>
    </row>
  </sheetData>
  <mergeCells count="4">
    <mergeCell ref="G12:H12"/>
    <mergeCell ref="G7:H7"/>
    <mergeCell ref="I7:K7"/>
    <mergeCell ref="J12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0B21-86E3-4E60-9B16-646B4376A26A}">
  <dimension ref="F7:X25"/>
  <sheetViews>
    <sheetView topLeftCell="R1" workbookViewId="0">
      <selection activeCell="X14" sqref="S14:X18"/>
    </sheetView>
  </sheetViews>
  <sheetFormatPr defaultRowHeight="14.4" x14ac:dyDescent="0.3"/>
  <cols>
    <col min="6" max="6" width="13.33203125" customWidth="1"/>
    <col min="7" max="7" width="17.77734375" customWidth="1"/>
    <col min="8" max="8" width="18.21875" customWidth="1"/>
    <col min="9" max="9" width="15.44140625" customWidth="1"/>
    <col min="11" max="11" width="13.88671875" customWidth="1"/>
    <col min="12" max="12" width="14.77734375" customWidth="1"/>
    <col min="13" max="13" width="13.6640625" customWidth="1"/>
    <col min="17" max="17" width="13" style="17" customWidth="1"/>
    <col min="18" max="18" width="15.6640625" customWidth="1"/>
    <col min="19" max="19" width="9.33203125" bestFit="1" customWidth="1"/>
    <col min="20" max="20" width="11.6640625" bestFit="1" customWidth="1"/>
    <col min="24" max="24" width="11.6640625" bestFit="1" customWidth="1"/>
  </cols>
  <sheetData>
    <row r="7" spans="6:24" x14ac:dyDescent="0.3">
      <c r="H7" t="s">
        <v>47</v>
      </c>
    </row>
    <row r="8" spans="6:24" x14ac:dyDescent="0.3">
      <c r="F8" t="s">
        <v>2</v>
      </c>
      <c r="G8" t="s">
        <v>5</v>
      </c>
      <c r="H8" t="s">
        <v>46</v>
      </c>
      <c r="I8" t="s">
        <v>48</v>
      </c>
      <c r="K8" t="s">
        <v>49</v>
      </c>
      <c r="L8" t="s">
        <v>50</v>
      </c>
    </row>
    <row r="9" spans="6:24" x14ac:dyDescent="0.3">
      <c r="F9" t="s">
        <v>41</v>
      </c>
      <c r="G9">
        <v>749</v>
      </c>
      <c r="H9" t="str">
        <f>TRIM(Table2[[#This Row],[Pair]])</f>
        <v>eurusd</v>
      </c>
      <c r="I9" t="str">
        <f>IF(Table2[[#This Row],[Pair]]=Table2[[#This Row],[Clean Space]],"GOOD","NADFO")</f>
        <v>NADFO</v>
      </c>
      <c r="K9" t="s">
        <v>51</v>
      </c>
      <c r="L9" t="str">
        <f>PROPER(Table4[[#This Row],[raw text]])</f>
        <v>Eur</v>
      </c>
    </row>
    <row r="10" spans="6:24" x14ac:dyDescent="0.3">
      <c r="F10" t="s">
        <v>42</v>
      </c>
      <c r="G10">
        <v>3773</v>
      </c>
      <c r="H10" t="str">
        <f>TRIM(Table2[[#This Row],[Pair]])</f>
        <v>eurusd</v>
      </c>
      <c r="I10" t="str">
        <f>IF(Table2[[#This Row],[Pair]]=Table2[[#This Row],[Clean Space]],"GOOD","NADFO")</f>
        <v>GOOD</v>
      </c>
      <c r="K10" s="13" t="s">
        <v>52</v>
      </c>
      <c r="L10" t="str">
        <f>PROPER(Table4[[#This Row],[raw text]])</f>
        <v>Gold</v>
      </c>
    </row>
    <row r="11" spans="6:24" x14ac:dyDescent="0.3">
      <c r="F11" t="s">
        <v>43</v>
      </c>
      <c r="G11">
        <v>8383</v>
      </c>
      <c r="H11" t="str">
        <f>TRIM(Table2[[#This Row],[Pair]])</f>
        <v>eurusd</v>
      </c>
      <c r="I11" t="str">
        <f>IF(Table2[[#This Row],[Pair]]=Table2[[#This Row],[Clean Space]],"GOOD","NADFO")</f>
        <v>NADFO</v>
      </c>
      <c r="K11" t="s">
        <v>53</v>
      </c>
      <c r="L11" t="str">
        <f>PROPER(Table4[[#This Row],[raw text]])</f>
        <v>Ud30</v>
      </c>
    </row>
    <row r="12" spans="6:24" x14ac:dyDescent="0.3">
      <c r="F12" t="s">
        <v>44</v>
      </c>
      <c r="G12">
        <v>774</v>
      </c>
      <c r="H12" t="str">
        <f>TRIM(Table2[[#This Row],[Pair]])</f>
        <v>gold</v>
      </c>
      <c r="I12" t="str">
        <f>IF(Table2[[#This Row],[Pair]]=Table2[[#This Row],[Clean Space]],"GOOD","NADFO")</f>
        <v>GOOD</v>
      </c>
      <c r="K12" t="s">
        <v>54</v>
      </c>
      <c r="L12" t="str">
        <f>PROPER(Table4[[#This Row],[raw text]])</f>
        <v>Oil</v>
      </c>
    </row>
    <row r="13" spans="6:24" x14ac:dyDescent="0.3">
      <c r="F13" t="s">
        <v>45</v>
      </c>
      <c r="G13">
        <v>88</v>
      </c>
      <c r="H13" t="str">
        <f>TRIM(Table2[[#This Row],[Pair]])</f>
        <v>us30</v>
      </c>
      <c r="I13" t="str">
        <f>IF(Table2[[#This Row],[Pair]]=Table2[[#This Row],[Clean Space]],"GOOD","NADFO")</f>
        <v>GOOD</v>
      </c>
    </row>
    <row r="14" spans="6:24" x14ac:dyDescent="0.3">
      <c r="S14" s="3" t="s">
        <v>1</v>
      </c>
      <c r="T14" s="3" t="s">
        <v>60</v>
      </c>
      <c r="V14" s="3" t="s">
        <v>0</v>
      </c>
      <c r="W14" s="3" t="s">
        <v>1</v>
      </c>
      <c r="X14" s="3" t="s">
        <v>60</v>
      </c>
    </row>
    <row r="15" spans="6:24" x14ac:dyDescent="0.3">
      <c r="S15" s="2" t="s">
        <v>61</v>
      </c>
      <c r="T15" s="2"/>
      <c r="V15" s="2">
        <v>2001</v>
      </c>
      <c r="W15" s="2" t="s">
        <v>62</v>
      </c>
      <c r="X15" s="2" t="e" cm="1" vm="1">
        <f t="array" aca="1" ref="X15" ca="1">IFERROR(_xlfn.XLOOKUP(W15:W18,S15:S18,T15:T18),"not found")</f>
        <v>#VALUE!</v>
      </c>
    </row>
    <row r="16" spans="6:24" x14ac:dyDescent="0.3">
      <c r="K16" t="s">
        <v>56</v>
      </c>
      <c r="L16" t="s">
        <v>55</v>
      </c>
      <c r="M16" t="s">
        <v>59</v>
      </c>
      <c r="S16" s="2" t="s">
        <v>62</v>
      </c>
      <c r="T16" s="2" t="s">
        <v>65</v>
      </c>
      <c r="V16" s="2">
        <v>2002</v>
      </c>
      <c r="W16" s="2" t="s">
        <v>61</v>
      </c>
      <c r="X16" s="2" t="e" cm="1" vm="1">
        <f t="array" aca="1" ref="X16" ca="1">IFERROR(_xlfn.XLOOKUP(W16:W19,S16:S19,T16:T19),"not found")</f>
        <v>#VALUE!</v>
      </c>
    </row>
    <row r="17" spans="11:24" x14ac:dyDescent="0.3">
      <c r="K17" s="14" t="s">
        <v>57</v>
      </c>
      <c r="L17">
        <f>VALUE(Table3[[#This Row],[text num]])</f>
        <v>673</v>
      </c>
      <c r="M17" t="b">
        <f>ISNUMBER(Table3[[#This Row],[text num]])</f>
        <v>0</v>
      </c>
      <c r="Q17" s="17" t="s">
        <v>0</v>
      </c>
      <c r="S17" s="2" t="s">
        <v>63</v>
      </c>
      <c r="T17" s="2" t="s">
        <v>64</v>
      </c>
      <c r="V17" s="2">
        <v>2003</v>
      </c>
      <c r="W17" s="2" t="s">
        <v>63</v>
      </c>
      <c r="X17" s="2" t="e" cm="1" vm="1">
        <f t="array" aca="1" ref="X17" ca="1">IFERROR(_xlfn.XLOOKUP(W17:W20,S17:S20,T17:T20),"not found")</f>
        <v>#VALUE!</v>
      </c>
    </row>
    <row r="18" spans="11:24" x14ac:dyDescent="0.3">
      <c r="K18" s="16" t="s">
        <v>58</v>
      </c>
      <c r="L18">
        <f>VALUE(Table3[[#This Row],[text num]])</f>
        <v>634</v>
      </c>
      <c r="M18" t="b">
        <f>ISNUMBER(Table3[[#This Row],[text num]])</f>
        <v>0</v>
      </c>
      <c r="Q18" s="17">
        <v>1001</v>
      </c>
      <c r="S18" s="18" t="s">
        <v>66</v>
      </c>
      <c r="T18" s="2" t="s">
        <v>65</v>
      </c>
      <c r="V18" s="18">
        <v>2004</v>
      </c>
      <c r="W18" s="2" t="s">
        <v>66</v>
      </c>
      <c r="X18" s="2" t="str" cm="1">
        <f t="array" ref="X18:X21">IFERROR(_xlfn.XLOOKUP(W18:W21,S18:S21,T18:T21),"not found")</f>
        <v>Challenge</v>
      </c>
    </row>
    <row r="19" spans="11:24" x14ac:dyDescent="0.3">
      <c r="K19" s="15">
        <v>7883</v>
      </c>
      <c r="L19">
        <f>VALUE(Table3[[#This Row],[text num]])</f>
        <v>7883</v>
      </c>
      <c r="M19" t="b">
        <f>ISNUMBER(Table3[[#This Row],[text num]])</f>
        <v>1</v>
      </c>
      <c r="Q19" s="17">
        <v>1002</v>
      </c>
      <c r="X19">
        <v>0</v>
      </c>
    </row>
    <row r="20" spans="11:24" x14ac:dyDescent="0.3">
      <c r="Q20" s="17">
        <v>1003</v>
      </c>
      <c r="X20">
        <v>0</v>
      </c>
    </row>
    <row r="21" spans="11:24" x14ac:dyDescent="0.3">
      <c r="Q21" s="17">
        <v>1004</v>
      </c>
      <c r="X21">
        <v>0</v>
      </c>
    </row>
    <row r="22" spans="11:24" x14ac:dyDescent="0.3">
      <c r="Q22" s="17">
        <v>1005</v>
      </c>
    </row>
    <row r="23" spans="11:24" x14ac:dyDescent="0.3">
      <c r="Q23" s="17">
        <v>1006</v>
      </c>
    </row>
    <row r="24" spans="11:24" x14ac:dyDescent="0.3">
      <c r="Q24" s="17">
        <v>1007</v>
      </c>
    </row>
    <row r="25" spans="11:24" x14ac:dyDescent="0.3">
      <c r="Q25" s="17">
        <v>1008</v>
      </c>
    </row>
  </sheetData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pivot table</vt:lpstr>
      <vt:lpstr>data analysis</vt:lpstr>
      <vt:lpstr>trading_raw_data2</vt:lpstr>
      <vt:lpstr>functions</vt:lpstr>
      <vt:lpstr>data cleaning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2026-09-09T18:19:16Z</dcterms:created>
  <dcterms:modified xsi:type="dcterms:W3CDTF">2026-09-25T19:13:19Z</dcterms:modified>
</cp:coreProperties>
</file>